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Public\FGOSkillItem _V5\"/>
    </mc:Choice>
  </mc:AlternateContent>
  <xr:revisionPtr revIDLastSave="0" documentId="13_ncr:1_{1AB7FDC0-E62E-4DE6-AFA2-CB728A49F16D}" xr6:coauthVersionLast="47" xr6:coauthVersionMax="47" xr10:uidLastSave="{00000000-0000-0000-0000-000000000000}"/>
  <bookViews>
    <workbookView xWindow="-108" yWindow="-108" windowWidth="23256" windowHeight="13176" activeTab="1" xr2:uid="{0FBBE8FF-B2FE-4523-9947-9C0D60F55AF4}"/>
  </bookViews>
  <sheets>
    <sheet name="工作表2" sheetId="2" r:id="rId1"/>
    <sheet name="工作表1" sheetId="12" r:id="rId2"/>
    <sheet name="case1" sheetId="4" r:id="rId3"/>
    <sheet name="case2" sheetId="5" r:id="rId4"/>
    <sheet name="case3" sheetId="6" r:id="rId5"/>
    <sheet name="case4" sheetId="8" r:id="rId6"/>
    <sheet name="case5" sheetId="9" r:id="rId7"/>
    <sheet name="分1" sheetId="10" r:id="rId8"/>
    <sheet name="分2" sheetId="11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8" i="10" l="1"/>
  <c r="S19" i="10"/>
  <c r="S18" i="10"/>
  <c r="Q19" i="10"/>
  <c r="Q18" i="10"/>
  <c r="O19" i="10"/>
  <c r="O18" i="10"/>
  <c r="M19" i="10"/>
  <c r="M18" i="10"/>
  <c r="K19" i="10"/>
  <c r="K18" i="10"/>
  <c r="I19" i="10"/>
  <c r="I18" i="10"/>
  <c r="G19" i="10"/>
  <c r="G18" i="10"/>
  <c r="E19" i="10"/>
  <c r="E18" i="10"/>
  <c r="T18" i="10"/>
  <c r="R19" i="10"/>
  <c r="R18" i="10"/>
  <c r="P19" i="10"/>
  <c r="P18" i="10"/>
  <c r="N19" i="10"/>
  <c r="N18" i="10"/>
  <c r="L19" i="10"/>
  <c r="L18" i="10"/>
  <c r="J19" i="10"/>
  <c r="J18" i="10"/>
  <c r="H19" i="10"/>
  <c r="H18" i="10"/>
  <c r="F19" i="10"/>
  <c r="D19" i="10"/>
  <c r="F18" i="10"/>
  <c r="D18" i="10"/>
  <c r="T7" i="10"/>
  <c r="U7" i="10"/>
  <c r="S8" i="10"/>
  <c r="S7" i="10"/>
  <c r="R8" i="10"/>
  <c r="R7" i="10"/>
  <c r="P8" i="10"/>
  <c r="P7" i="10"/>
  <c r="L8" i="10"/>
  <c r="L7" i="10"/>
  <c r="Q8" i="10"/>
  <c r="Q7" i="10"/>
  <c r="O8" i="10"/>
  <c r="O7" i="10"/>
  <c r="N8" i="10"/>
  <c r="N7" i="10"/>
  <c r="M8" i="10"/>
  <c r="M7" i="10"/>
  <c r="K8" i="10"/>
  <c r="K7" i="10"/>
  <c r="J8" i="10"/>
  <c r="J7" i="10"/>
  <c r="H8" i="10"/>
  <c r="H7" i="10"/>
  <c r="I8" i="10"/>
  <c r="I7" i="10"/>
  <c r="F8" i="10"/>
  <c r="F7" i="10"/>
  <c r="G8" i="10"/>
  <c r="G7" i="10"/>
  <c r="E8" i="10"/>
  <c r="E7" i="10"/>
  <c r="D8" i="10"/>
  <c r="D7" i="10"/>
  <c r="U20" i="4"/>
  <c r="T20" i="4"/>
  <c r="S21" i="4"/>
  <c r="S20" i="4"/>
  <c r="R21" i="4"/>
  <c r="R20" i="4"/>
  <c r="Q21" i="4"/>
  <c r="Q20" i="4"/>
  <c r="P21" i="4"/>
  <c r="P20" i="4"/>
  <c r="O21" i="4"/>
  <c r="O20" i="4"/>
  <c r="N21" i="4"/>
  <c r="N20" i="4"/>
  <c r="M21" i="4"/>
  <c r="L21" i="4"/>
  <c r="M20" i="4"/>
  <c r="L20" i="4"/>
  <c r="K21" i="4"/>
  <c r="J21" i="4"/>
  <c r="K20" i="4"/>
  <c r="J20" i="4"/>
  <c r="I20" i="4"/>
  <c r="H20" i="4"/>
  <c r="G20" i="4"/>
  <c r="F20" i="4"/>
  <c r="E20" i="4"/>
  <c r="D20" i="4"/>
  <c r="A6" i="4"/>
  <c r="A5" i="4"/>
  <c r="A5" i="5"/>
  <c r="A1" i="11"/>
  <c r="E11" i="11"/>
  <c r="E10" i="11"/>
  <c r="D11" i="11"/>
  <c r="D10" i="11"/>
  <c r="U10" i="11"/>
  <c r="T10" i="11"/>
  <c r="Q10" i="11"/>
  <c r="Q11" i="11"/>
  <c r="P11" i="11"/>
  <c r="P10" i="11"/>
  <c r="M11" i="11"/>
  <c r="M10" i="11"/>
  <c r="L11" i="11"/>
  <c r="L10" i="11"/>
  <c r="I11" i="11"/>
  <c r="I10" i="11"/>
  <c r="H11" i="11"/>
  <c r="H10" i="11"/>
  <c r="S11" i="11"/>
  <c r="R11" i="11"/>
  <c r="O11" i="11"/>
  <c r="N11" i="11"/>
  <c r="K11" i="11"/>
  <c r="J11" i="11"/>
  <c r="G11" i="11"/>
  <c r="F11" i="11"/>
  <c r="S10" i="11"/>
  <c r="R10" i="11"/>
  <c r="O10" i="11"/>
  <c r="N10" i="11"/>
  <c r="K10" i="11"/>
  <c r="J10" i="11"/>
  <c r="G10" i="11"/>
  <c r="F10" i="11"/>
  <c r="S2" i="11"/>
  <c r="S1" i="11"/>
  <c r="Q2" i="11"/>
  <c r="Q1" i="11"/>
  <c r="O1" i="11"/>
  <c r="O2" i="11"/>
  <c r="M2" i="11"/>
  <c r="M1" i="11"/>
  <c r="K2" i="11"/>
  <c r="K1" i="11"/>
  <c r="I2" i="11"/>
  <c r="I1" i="11"/>
  <c r="G2" i="11"/>
  <c r="G1" i="11"/>
  <c r="E2" i="11"/>
  <c r="U1" i="11"/>
  <c r="T1" i="11"/>
  <c r="R2" i="11"/>
  <c r="R1" i="11"/>
  <c r="P2" i="11"/>
  <c r="P1" i="11"/>
  <c r="N2" i="11"/>
  <c r="N1" i="11"/>
  <c r="L2" i="11"/>
  <c r="L1" i="11"/>
  <c r="J2" i="11"/>
  <c r="J1" i="11"/>
  <c r="H2" i="11"/>
  <c r="H1" i="11"/>
  <c r="F2" i="11"/>
  <c r="F1" i="11"/>
  <c r="D2" i="11"/>
  <c r="B4" i="11"/>
  <c r="A4" i="11"/>
  <c r="B3" i="11"/>
  <c r="A3" i="11"/>
  <c r="B2" i="11"/>
  <c r="A2" i="11"/>
  <c r="E1" i="11"/>
  <c r="D1" i="11"/>
  <c r="B1" i="11"/>
  <c r="U13" i="10"/>
  <c r="S14" i="10"/>
  <c r="S13" i="10"/>
  <c r="Q14" i="10"/>
  <c r="Q13" i="10"/>
  <c r="O14" i="10"/>
  <c r="O13" i="10"/>
  <c r="M14" i="10"/>
  <c r="M13" i="10"/>
  <c r="K14" i="10"/>
  <c r="K13" i="10"/>
  <c r="T13" i="10"/>
  <c r="R14" i="10"/>
  <c r="R13" i="10"/>
  <c r="P14" i="10"/>
  <c r="P13" i="10"/>
  <c r="N14" i="10"/>
  <c r="N13" i="10"/>
  <c r="L14" i="10"/>
  <c r="L13" i="10"/>
  <c r="J14" i="10"/>
  <c r="J13" i="10"/>
  <c r="I14" i="10"/>
  <c r="I13" i="10"/>
  <c r="H14" i="10"/>
  <c r="H13" i="10"/>
  <c r="G14" i="10"/>
  <c r="G13" i="10"/>
  <c r="E14" i="10"/>
  <c r="E13" i="10"/>
  <c r="F14" i="10"/>
  <c r="F13" i="10"/>
  <c r="D14" i="10"/>
  <c r="D13" i="10"/>
  <c r="U1" i="10"/>
  <c r="T1" i="10"/>
  <c r="S2" i="10"/>
  <c r="S1" i="10"/>
  <c r="R2" i="10"/>
  <c r="R1" i="10"/>
  <c r="Q2" i="10"/>
  <c r="Q1" i="10"/>
  <c r="P2" i="10"/>
  <c r="P1" i="10"/>
  <c r="O2" i="10"/>
  <c r="O1" i="10"/>
  <c r="N2" i="10"/>
  <c r="N1" i="10"/>
  <c r="K2" i="10"/>
  <c r="K1" i="10"/>
  <c r="J2" i="10"/>
  <c r="J1" i="10"/>
  <c r="M2" i="10"/>
  <c r="M1" i="10"/>
  <c r="L2" i="10"/>
  <c r="L1" i="10"/>
  <c r="I2" i="10"/>
  <c r="H2" i="10"/>
  <c r="G1" i="10"/>
  <c r="F1" i="10"/>
  <c r="I1" i="10"/>
  <c r="G2" i="10"/>
  <c r="H1" i="10"/>
  <c r="F2" i="10"/>
  <c r="E2" i="10"/>
  <c r="D2" i="10"/>
  <c r="E1" i="10"/>
  <c r="D1" i="10"/>
  <c r="B8" i="10"/>
  <c r="A8" i="10"/>
  <c r="B7" i="10"/>
  <c r="A7" i="10"/>
  <c r="B6" i="10"/>
  <c r="A6" i="10"/>
  <c r="B5" i="10"/>
  <c r="A5" i="10"/>
  <c r="B4" i="10"/>
  <c r="A4" i="10"/>
  <c r="B3" i="10"/>
  <c r="A3" i="10"/>
  <c r="B2" i="10"/>
  <c r="A2" i="10"/>
  <c r="B1" i="10"/>
  <c r="A1" i="10"/>
  <c r="A1" i="6"/>
  <c r="U10" i="6"/>
  <c r="T10" i="6"/>
  <c r="Q10" i="6"/>
  <c r="P10" i="6"/>
  <c r="M10" i="6"/>
  <c r="L10" i="6"/>
  <c r="I10" i="6"/>
  <c r="H10" i="6"/>
  <c r="E10" i="6"/>
  <c r="D10" i="6"/>
  <c r="U1" i="6"/>
  <c r="T1" i="6"/>
  <c r="R1" i="6"/>
  <c r="Q1" i="6"/>
  <c r="P1" i="6"/>
  <c r="M1" i="6"/>
  <c r="L1" i="6"/>
  <c r="I1" i="6"/>
  <c r="H1" i="6"/>
  <c r="E1" i="6"/>
  <c r="D1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U17" i="4"/>
  <c r="T17" i="4"/>
  <c r="S18" i="4"/>
  <c r="S17" i="4"/>
  <c r="R18" i="4"/>
  <c r="R17" i="4"/>
  <c r="Q18" i="4"/>
  <c r="Q17" i="4"/>
  <c r="P18" i="4"/>
  <c r="P17" i="4"/>
  <c r="O18" i="4"/>
  <c r="O17" i="4"/>
  <c r="N18" i="4"/>
  <c r="N17" i="4"/>
  <c r="M18" i="4"/>
  <c r="M17" i="4"/>
  <c r="L18" i="4"/>
  <c r="L17" i="4"/>
  <c r="K18" i="4"/>
  <c r="J18" i="4"/>
  <c r="K17" i="4"/>
  <c r="J17" i="4"/>
  <c r="I17" i="4"/>
  <c r="H17" i="4"/>
  <c r="G17" i="4"/>
  <c r="F17" i="4"/>
  <c r="E17" i="4"/>
  <c r="D17" i="4"/>
  <c r="U10" i="5"/>
  <c r="T10" i="5"/>
  <c r="S11" i="5"/>
  <c r="S10" i="5"/>
  <c r="R11" i="5"/>
  <c r="R10" i="5"/>
  <c r="Q11" i="5"/>
  <c r="Q10" i="5"/>
  <c r="P11" i="5"/>
  <c r="P10" i="5"/>
  <c r="O11" i="5"/>
  <c r="O10" i="5"/>
  <c r="N11" i="5"/>
  <c r="N10" i="5"/>
  <c r="M11" i="5"/>
  <c r="M10" i="5"/>
  <c r="L11" i="5"/>
  <c r="L10" i="5"/>
  <c r="K11" i="5"/>
  <c r="K10" i="5"/>
  <c r="J11" i="5"/>
  <c r="J10" i="5"/>
  <c r="I10" i="5"/>
  <c r="H10" i="5"/>
  <c r="G10" i="5"/>
  <c r="F10" i="5"/>
  <c r="E10" i="5"/>
  <c r="D10" i="5"/>
  <c r="U10" i="8"/>
  <c r="T10" i="8"/>
  <c r="S11" i="8"/>
  <c r="S10" i="8"/>
  <c r="R11" i="8"/>
  <c r="R10" i="8"/>
  <c r="Q11" i="8"/>
  <c r="Q10" i="8"/>
  <c r="P11" i="8"/>
  <c r="P10" i="8"/>
  <c r="O11" i="8"/>
  <c r="O10" i="8"/>
  <c r="N11" i="8"/>
  <c r="N10" i="8"/>
  <c r="M11" i="8"/>
  <c r="M10" i="8"/>
  <c r="L11" i="8"/>
  <c r="L10" i="8"/>
  <c r="K11" i="8"/>
  <c r="J11" i="8"/>
  <c r="K10" i="8"/>
  <c r="J10" i="8"/>
  <c r="I10" i="8"/>
  <c r="H10" i="8"/>
  <c r="G10" i="8"/>
  <c r="F10" i="8"/>
  <c r="E10" i="8"/>
  <c r="D10" i="8"/>
  <c r="U14" i="9"/>
  <c r="S14" i="9"/>
  <c r="Q14" i="9"/>
  <c r="O14" i="9"/>
  <c r="M14" i="9"/>
  <c r="K14" i="9"/>
  <c r="I14" i="9"/>
  <c r="G14" i="9"/>
  <c r="E14" i="9"/>
  <c r="B4" i="9"/>
  <c r="A4" i="9"/>
  <c r="B3" i="9"/>
  <c r="A3" i="9"/>
  <c r="B2" i="9"/>
  <c r="A2" i="9"/>
  <c r="B1" i="9"/>
  <c r="A1" i="9"/>
  <c r="S9" i="4"/>
  <c r="R9" i="4"/>
  <c r="Q9" i="4"/>
  <c r="Q15" i="4" s="1"/>
  <c r="P9" i="4"/>
  <c r="P15" i="4" s="1"/>
  <c r="O9" i="4"/>
  <c r="N9" i="4"/>
  <c r="M9" i="4"/>
  <c r="M15" i="4" s="1"/>
  <c r="L9" i="4"/>
  <c r="L15" i="4" s="1"/>
  <c r="K9" i="4"/>
  <c r="J9" i="4"/>
  <c r="U8" i="4"/>
  <c r="U14" i="4" s="1"/>
  <c r="T8" i="4"/>
  <c r="T14" i="4" s="1"/>
  <c r="S8" i="4"/>
  <c r="R8" i="4"/>
  <c r="Q8" i="4"/>
  <c r="Q14" i="4" s="1"/>
  <c r="P8" i="4"/>
  <c r="P14" i="4" s="1"/>
  <c r="O8" i="4"/>
  <c r="N8" i="4"/>
  <c r="M8" i="4"/>
  <c r="M14" i="4" s="1"/>
  <c r="L8" i="4"/>
  <c r="L14" i="4" s="1"/>
  <c r="K8" i="4"/>
  <c r="J8" i="4"/>
  <c r="I8" i="4"/>
  <c r="I14" i="4" s="1"/>
  <c r="H8" i="4"/>
  <c r="H14" i="4" s="1"/>
  <c r="G8" i="4"/>
  <c r="F8" i="4"/>
  <c r="E8" i="4"/>
  <c r="E14" i="4" s="1"/>
  <c r="D8" i="4"/>
  <c r="D14" i="4" s="1"/>
  <c r="U1" i="8"/>
  <c r="T1" i="8"/>
  <c r="S2" i="8"/>
  <c r="R2" i="8"/>
  <c r="S1" i="8"/>
  <c r="R1" i="8"/>
  <c r="Q2" i="8"/>
  <c r="P2" i="8"/>
  <c r="Q1" i="8"/>
  <c r="P1" i="8"/>
  <c r="O2" i="8"/>
  <c r="N2" i="8"/>
  <c r="O1" i="8"/>
  <c r="N1" i="8"/>
  <c r="M2" i="8"/>
  <c r="L2" i="8"/>
  <c r="M1" i="8"/>
  <c r="L1" i="8"/>
  <c r="K2" i="8"/>
  <c r="J2" i="8"/>
  <c r="K1" i="8"/>
  <c r="J1" i="8"/>
  <c r="I1" i="8"/>
  <c r="H1" i="8"/>
  <c r="G1" i="8"/>
  <c r="E1" i="8"/>
  <c r="F1" i="8"/>
  <c r="D1" i="8"/>
  <c r="B3" i="8"/>
  <c r="B4" i="8"/>
  <c r="A4" i="8"/>
  <c r="A3" i="8"/>
  <c r="B2" i="8"/>
  <c r="A2" i="8"/>
  <c r="B1" i="8"/>
  <c r="A1" i="8"/>
  <c r="S10" i="6"/>
  <c r="R10" i="6"/>
  <c r="O10" i="6"/>
  <c r="N10" i="6"/>
  <c r="K10" i="6"/>
  <c r="J10" i="6"/>
  <c r="G10" i="6"/>
  <c r="F10" i="6"/>
  <c r="S1" i="6"/>
  <c r="O1" i="6"/>
  <c r="N1" i="6"/>
  <c r="K1" i="6"/>
  <c r="J1" i="6"/>
  <c r="G1" i="6"/>
  <c r="F1" i="6"/>
  <c r="B9" i="6"/>
  <c r="A9" i="6"/>
  <c r="A5" i="6"/>
  <c r="B4" i="6"/>
  <c r="A4" i="6"/>
  <c r="B2" i="6"/>
  <c r="A2" i="6"/>
  <c r="B8" i="6"/>
  <c r="A8" i="6"/>
  <c r="B7" i="6"/>
  <c r="A7" i="6"/>
  <c r="B6" i="6"/>
  <c r="A6" i="6"/>
  <c r="B5" i="6"/>
  <c r="B3" i="6"/>
  <c r="A3" i="6"/>
  <c r="B1" i="6"/>
  <c r="U10" i="4"/>
  <c r="T10" i="4"/>
  <c r="S11" i="4"/>
  <c r="S15" i="4" s="1"/>
  <c r="S10" i="4"/>
  <c r="S14" i="4" s="1"/>
  <c r="R11" i="4"/>
  <c r="R15" i="4" s="1"/>
  <c r="R10" i="4"/>
  <c r="R14" i="4" s="1"/>
  <c r="Q11" i="4"/>
  <c r="Q10" i="4"/>
  <c r="P10" i="4"/>
  <c r="P11" i="4"/>
  <c r="O11" i="4"/>
  <c r="O15" i="4" s="1"/>
  <c r="O10" i="4"/>
  <c r="O14" i="4" s="1"/>
  <c r="N11" i="4"/>
  <c r="N15" i="4" s="1"/>
  <c r="N10" i="4"/>
  <c r="N14" i="4" s="1"/>
  <c r="M11" i="4"/>
  <c r="M10" i="4"/>
  <c r="L11" i="4"/>
  <c r="L10" i="4"/>
  <c r="K11" i="4"/>
  <c r="K15" i="4" s="1"/>
  <c r="K10" i="4"/>
  <c r="K14" i="4" s="1"/>
  <c r="J11" i="4"/>
  <c r="J15" i="4" s="1"/>
  <c r="J10" i="4"/>
  <c r="J14" i="4" s="1"/>
  <c r="I10" i="4"/>
  <c r="H10" i="4"/>
  <c r="G10" i="4"/>
  <c r="G14" i="4" s="1"/>
  <c r="F10" i="4"/>
  <c r="F14" i="4" s="1"/>
  <c r="E10" i="4"/>
  <c r="D10" i="4"/>
  <c r="U1" i="4"/>
  <c r="T1" i="4"/>
  <c r="Q2" i="4"/>
  <c r="Q1" i="4"/>
  <c r="P2" i="4"/>
  <c r="P1" i="4"/>
  <c r="L2" i="4"/>
  <c r="L1" i="4"/>
  <c r="I1" i="4"/>
  <c r="H1" i="4"/>
  <c r="F1" i="4"/>
  <c r="E1" i="4"/>
  <c r="D1" i="4"/>
  <c r="B9" i="5"/>
  <c r="A9" i="5"/>
  <c r="B8" i="5"/>
  <c r="A8" i="5"/>
  <c r="B7" i="5"/>
  <c r="A7" i="5"/>
  <c r="B6" i="5"/>
  <c r="A6" i="5"/>
  <c r="B5" i="5"/>
  <c r="B4" i="5"/>
  <c r="A4" i="5"/>
  <c r="B3" i="5"/>
  <c r="A3" i="5"/>
  <c r="S2" i="5"/>
  <c r="R2" i="5"/>
  <c r="Q2" i="5"/>
  <c r="P2" i="5"/>
  <c r="O2" i="5"/>
  <c r="N2" i="5"/>
  <c r="M2" i="5"/>
  <c r="L2" i="5"/>
  <c r="K2" i="5"/>
  <c r="J2" i="5"/>
  <c r="B2" i="5"/>
  <c r="A2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B1" i="5"/>
  <c r="A1" i="5"/>
  <c r="S2" i="4"/>
  <c r="R2" i="4"/>
  <c r="S1" i="4"/>
  <c r="R1" i="4"/>
  <c r="O2" i="4"/>
  <c r="N2" i="4"/>
  <c r="O1" i="4"/>
  <c r="N1" i="4"/>
  <c r="M2" i="4"/>
  <c r="M1" i="4"/>
  <c r="K2" i="4"/>
  <c r="G1" i="4"/>
  <c r="J2" i="4"/>
  <c r="K1" i="4"/>
  <c r="J1" i="4"/>
  <c r="B9" i="4"/>
  <c r="A9" i="4"/>
  <c r="B8" i="4"/>
  <c r="A8" i="4"/>
  <c r="B7" i="4"/>
  <c r="A7" i="4"/>
  <c r="B6" i="4"/>
  <c r="B5" i="4"/>
  <c r="B4" i="4"/>
  <c r="A4" i="4"/>
  <c r="B3" i="4"/>
  <c r="A3" i="4"/>
  <c r="B2" i="4"/>
  <c r="A2" i="4"/>
  <c r="B1" i="4"/>
  <c r="A1" i="4"/>
  <c r="M1" i="9" a="1"/>
  <c r="G10" i="9" a="1"/>
  <c r="F10" i="9" a="1"/>
  <c r="Q10" i="9" a="1"/>
  <c r="R10" i="9" a="1"/>
  <c r="K1" i="9" a="1"/>
  <c r="K10" i="9" a="1"/>
  <c r="R1" i="9" a="1"/>
  <c r="U1" i="9" a="1"/>
  <c r="L10" i="9" a="1"/>
  <c r="H1" i="9" a="1"/>
  <c r="O10" i="9" a="1"/>
  <c r="S1" i="9" a="1"/>
  <c r="G1" i="9" a="1"/>
  <c r="T10" i="9" a="1"/>
  <c r="J10" i="9" a="1"/>
  <c r="E1" i="9" a="1"/>
  <c r="M10" i="9" a="1"/>
  <c r="O1" i="9" a="1"/>
  <c r="N1" i="9" a="1"/>
  <c r="I10" i="9" a="1"/>
  <c r="J1" i="9" a="1"/>
  <c r="H10" i="9" a="1"/>
  <c r="T1" i="9" a="1"/>
  <c r="L1" i="9" a="1"/>
  <c r="D1" i="9" a="1"/>
  <c r="E10" i="9" a="1"/>
  <c r="I1" i="9" a="1"/>
  <c r="U10" i="9" a="1"/>
  <c r="D10" i="9" a="1"/>
  <c r="P10" i="9" a="1"/>
  <c r="S10" i="9" a="1"/>
  <c r="F1" i="9" a="1"/>
  <c r="N10" i="9" a="1"/>
  <c r="P1" i="9" a="1"/>
  <c r="Q1" i="9" a="1"/>
  <c r="L10" i="9" l="1"/>
  <c r="K10" i="9"/>
  <c r="J10" i="9"/>
  <c r="Q10" i="9"/>
  <c r="I10" i="9"/>
  <c r="R10" i="9"/>
  <c r="P10" i="9"/>
  <c r="H10" i="9"/>
  <c r="O10" i="9"/>
  <c r="G10" i="9"/>
  <c r="T10" i="9"/>
  <c r="N10" i="9"/>
  <c r="F10" i="9"/>
  <c r="S10" i="9"/>
  <c r="U10" i="9"/>
  <c r="M10" i="9"/>
  <c r="E10" i="9"/>
  <c r="D10" i="9"/>
  <c r="O1" i="9"/>
  <c r="G1" i="9"/>
  <c r="F1" i="9"/>
  <c r="U1" i="9"/>
  <c r="M1" i="9"/>
  <c r="E1" i="9"/>
  <c r="T1" i="9"/>
  <c r="L1" i="9"/>
  <c r="S1" i="9"/>
  <c r="K1" i="9"/>
  <c r="Q1" i="9"/>
  <c r="R1" i="9"/>
  <c r="J1" i="9"/>
  <c r="I1" i="9"/>
  <c r="P1" i="9"/>
  <c r="H1" i="9"/>
  <c r="N1" i="9"/>
  <c r="D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<sst xmlns="http://schemas.openxmlformats.org/spreadsheetml/2006/main" count="314" uniqueCount="82">
  <si>
    <t>QP</t>
  </si>
  <si>
    <t>伝承結晶</t>
  </si>
  <si>
    <t>&lt;/td&gt;&lt;/tr&gt;&lt;tr&gt;&lt;td bgcolor=" #ECF2F3</t>
  </si>
  <si>
    <t>&lt;/a&gt;&lt;div style="width:10px;display:inline-block;</t>
  </si>
  <si>
    <t xml:space="preserve">&lt;div class="itemMT" </t>
  </si>
  <si>
    <t>&lt;/td&gt;&lt;/tr&gt;&lt;/tbody&gt;&lt;/table&gt;</t>
  </si>
  <si>
    <t>100k</t>
  </si>
  <si>
    <t>3m</t>
  </si>
  <si>
    <t>5m</t>
  </si>
  <si>
    <t>&lt;tbody&gt;&lt;tr&gt;&lt;th rowspan="4</t>
  </si>
  <si>
    <t>&lt;b&gt;靈基再臨&lt;/b&gt;&lt;/th&gt;&lt;td width="80" bgcolor=" #ECF2F3</t>
  </si>
  <si>
    <t>第1階段&lt;/td&gt;&lt;td width="450" bgcolor=" #ECF2F3</t>
  </si>
  <si>
    <t>&lt;/td&gt;&lt;/tr&gt;&lt;tr&gt;&lt;td width="80</t>
  </si>
  <si>
    <t>第2階段&lt;/td&gt;&lt;td width="450</t>
  </si>
  <si>
    <t>&lt;/td&gt;&lt;/tr&gt;&lt;tr&gt;&lt;td width="80" bgcolor=" #ECF2F3</t>
  </si>
  <si>
    <t>第3階段&lt;/td&gt;&lt;td width="450" bgcolor=" #ECF2F3</t>
  </si>
  <si>
    <t>第4階段&lt;/td&gt;&lt;td width="450</t>
  </si>
  <si>
    <t>&lt;/td&gt;&lt;/tr&gt;&lt;tr&gt;&lt;th rowspan="9</t>
  </si>
  <si>
    <t>&lt;/td&gt;&lt;/tr&gt;&lt;tr&gt;&lt;th rowspan="12</t>
  </si>
  <si>
    <t xml:space="preserve">&lt;b&gt;附加技能強化&lt;/b&gt;&lt;/th&gt;&lt;/tr&gt;&lt;tr&gt;&lt;td&gt;獲得從者&lt;br&gt;時增加數&lt;/td&gt;&lt;td&gt;&lt;div class="itemMT" </t>
  </si>
  <si>
    <t>&lt;div style="width:10px;display:inline-block;</t>
  </si>
  <si>
    <t xml:space="preserve">&lt;/td&gt;&lt;/tr&gt;&lt;tr&gt;&lt;td&gt;解放&lt;/td&gt;&lt;td&gt;&lt;div class="itemMT" </t>
  </si>
  <si>
    <t>Lv.2→Lv.3&lt;/td&gt;&lt;td bgcolor=" #ECF2F3</t>
  </si>
  <si>
    <t>Lv.4→Lv.5&lt;/td&gt;&lt;td bgcolor=" #ECF2F3</t>
  </si>
  <si>
    <t>Lv.6→Lv.7&lt;/td&gt;&lt;td bgcolor=" #ECF2F3</t>
  </si>
  <si>
    <t>Lv.8→Lv.9&lt;/td&gt;&lt;td bgcolor=" #ECF2F3</t>
  </si>
  <si>
    <t>&lt;/td&gt;&lt;/tr&gt;&lt;tr&gt;&lt;td&gt;Lv.9→Lv.10&lt;/td&gt;&lt;td&gt;&lt;a href="item_drop.html#6999</t>
  </si>
  <si>
    <t>background-image: url('https://fgo.kazemai.io/common/images/icon/items/5.png')</t>
  </si>
  <si>
    <t>200k</t>
  </si>
  <si>
    <t>2m</t>
  </si>
  <si>
    <t>10m</t>
  </si>
  <si>
    <t>background-image: url('https://fgo.kazemai.io/common/images/icon/items/6999.png')</t>
  </si>
  <si>
    <t>鬼炎鬼灯</t>
  </si>
  <si>
    <t>background-image: url('https://fgo.kazemai.io/common/images/icon/items/6548.png')</t>
  </si>
  <si>
    <t>剣の輝石</t>
  </si>
  <si>
    <t>background-image: url('https://fgo.kazemai.io/common/images/icon/items/6001.png')</t>
  </si>
  <si>
    <t>&lt;a href="item_drop.html#6001</t>
  </si>
  <si>
    <t>&lt;/td&gt;&lt;/tr&gt;&lt;tr&gt;&lt;td&gt;Lv.3→Lv.4&lt;/td&gt;&lt;td&gt;&lt;a href="item_drop.html#6101</t>
  </si>
  <si>
    <t>剣の魔石</t>
  </si>
  <si>
    <t>background-image: url('https://fgo.kazemai.io/common/images/icon/items/6101.png')</t>
  </si>
  <si>
    <t>&lt;a href="item_drop.html#6101</t>
  </si>
  <si>
    <t>&lt;/td&gt;&lt;/tr&gt;&lt;tr&gt;&lt;td&gt;Lv.5→Lv.6&lt;/td&gt;&lt;td&gt;&lt;a href="item_drop.html#6201</t>
  </si>
  <si>
    <t>剣の秘石</t>
  </si>
  <si>
    <t>background-image: url('https://fgo.kazemai.io/common/images/icon/items/6201.png')</t>
  </si>
  <si>
    <t>&lt;a href="item_drop.html#6201</t>
  </si>
  <si>
    <t>&lt;/td&gt;&lt;/tr&gt;&lt;tr&gt;&lt;td&gt;Lv.1→Lv.2&lt;/td&gt;&lt;td&gt;&lt;a href="item_drop.html#6001</t>
  </si>
  <si>
    <t>&lt;a href="item_drop.html#6531</t>
  </si>
  <si>
    <t>奇奇神酒</t>
  </si>
  <si>
    <t>background-image: url('https://fgo.kazemai.io/common/images/icon/items/6531.png')</t>
  </si>
  <si>
    <t>50k</t>
  </si>
  <si>
    <t>150k</t>
  </si>
  <si>
    <t>500k</t>
  </si>
  <si>
    <t>600k</t>
  </si>
  <si>
    <t>800k</t>
  </si>
  <si>
    <t>6m</t>
  </si>
  <si>
    <t>&lt;a href="item_drop.html#6532</t>
  </si>
  <si>
    <t>枯淡勾玉</t>
  </si>
  <si>
    <t>background-image: url('https://fgo.kazemai.io/common/images/icon/items/6532.png')</t>
  </si>
  <si>
    <t>&lt;a href="item_drop.html#6548</t>
  </si>
  <si>
    <t>&lt;a href="item_drop.html#94091504</t>
  </si>
  <si>
    <t>水引根付</t>
  </si>
  <si>
    <t>background-image: url('https://fgo.kazemai.io/common/images/icon/items/94091504.png')</t>
  </si>
  <si>
    <t>&lt;b&gt;保有技能強化&lt;/b&gt;&lt;/th&gt;&lt;td&gt;Lv.1→Lv.2&lt;/td&gt;&lt;td&gt;&lt;a href="item_drop.html#6001</t>
  </si>
  <si>
    <t>&lt;a href="item_drop.html#6515</t>
  </si>
  <si>
    <t>八連双晶</t>
  </si>
  <si>
    <t>background-image: url('https://fgo.kazemai.io/common/images/icon/items/6515.png')</t>
  </si>
  <si>
    <t>&lt;a href="item_drop.html#6503</t>
  </si>
  <si>
    <t>英雄の証</t>
  </si>
  <si>
    <t>background-image: url('https://fgo.kazemai.io/common/images/icon/items/6503.png')</t>
  </si>
  <si>
    <t>&lt;/td&gt;&lt;/tr&gt;&lt;tr&gt;&lt;td&gt;Lv.7→Lv.8&lt;/td&gt;&lt;td&gt;&lt;a href="item_drop.html#6503</t>
  </si>
  <si>
    <t>background-image: url('https://fgo.kazemai.io/common/images/icon/items/106000.png')</t>
  </si>
  <si>
    <t>&lt;a href="item_drop.html#6538</t>
  </si>
  <si>
    <t>閑古鈴</t>
  </si>
  <si>
    <t>background-image: url('https://fgo.kazemai.io/common/images/icon/items/6538.png')</t>
  </si>
  <si>
    <t>&lt;/td&gt;&lt;/tr&gt;&lt;tr&gt;&lt;td&gt;Lv.7→Lv.8&lt;/td&gt;&lt;td&gt;&lt;a href="item_drop.html#6538</t>
  </si>
  <si>
    <t>&lt;a href="item_drop.html#6545</t>
  </si>
  <si>
    <t>神脈霊子</t>
  </si>
  <si>
    <t>background-image: url('https://fgo.kazemai.io/common/images/icon/items/6545.png')</t>
  </si>
  <si>
    <t>&lt;a href="item_drop.html#6552</t>
  </si>
  <si>
    <t>忘れじの灰</t>
  </si>
  <si>
    <t>background-image: url('https://fgo.kazemai.io/common/images/icon/items/6552.png')</t>
  </si>
  <si>
    <t>"水引根付": 1,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</si>
</sst>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b/>
      <sz val="10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</cellXfs>
  <cellStyles count="1">
    <cellStyle name="一般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</xdr:row>
          <xdr:rowOff>0</xdr:rowOff>
        </xdr:from>
        <xdr:to>
          <xdr:col>1</xdr:col>
          <xdr:colOff>274320</xdr:colOff>
          <xdr:row>2</xdr:row>
          <xdr:rowOff>106680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AD19-6D99-497A-B93A-FC38C6E79E31}">
  <sheetPr codeName="工作表1"/>
  <dimension ref="A1:B354"/>
  <sheetViews>
    <sheetView workbookViewId="0">
      <selection sqref="A1:A354"/>
    </sheetView>
  </sheetViews>
  <sheetFormatPr defaultRowHeight="16.2" x14ac:dyDescent="0.3"/>
  <cols>
    <col min="1" max="1" width="21" customWidth="1"/>
  </cols>
  <sheetData>
    <row r="1" spans="1:2" x14ac:dyDescent="0.3">
      <c r="A1" s="4" t="s">
        <v>9</v>
      </c>
    </row>
    <row r="2" spans="1:2" ht="16.2" customHeight="1" x14ac:dyDescent="0.3">
      <c r="A2" s="3" t="s">
        <v>10</v>
      </c>
    </row>
    <row r="3" spans="1:2" ht="16.2" customHeight="1" x14ac:dyDescent="0.3">
      <c r="A3" s="3" t="s">
        <v>11</v>
      </c>
    </row>
    <row r="4" spans="1:2" ht="16.2" customHeight="1" x14ac:dyDescent="0.3">
      <c r="A4" s="3" t="s">
        <v>59</v>
      </c>
    </row>
    <row r="5" spans="1:2" ht="16.2" customHeight="1" x14ac:dyDescent="0.3">
      <c r="A5" s="3" t="s">
        <v>4</v>
      </c>
    </row>
    <row r="6" spans="1:2" ht="16.2" customHeight="1" x14ac:dyDescent="0.3">
      <c r="A6" s="1" t="s">
        <v>60</v>
      </c>
      <c r="B6" s="3"/>
    </row>
    <row r="7" spans="1:2" ht="16.2" customHeight="1" x14ac:dyDescent="0.3">
      <c r="A7" s="2" t="s">
        <v>61</v>
      </c>
      <c r="B7" s="3"/>
    </row>
    <row r="8" spans="1:2" ht="16.2" customHeight="1" x14ac:dyDescent="0.3">
      <c r="A8" s="3">
        <v>1</v>
      </c>
    </row>
    <row r="9" spans="1:2" ht="16.2" customHeight="1" x14ac:dyDescent="0.3">
      <c r="A9" s="2" t="s">
        <v>3</v>
      </c>
      <c r="B9" s="3"/>
    </row>
    <row r="10" spans="1:2" ht="16.2" customHeight="1" x14ac:dyDescent="0.3">
      <c r="A10" s="3"/>
    </row>
    <row r="11" spans="1:2" ht="16.2" customHeight="1" x14ac:dyDescent="0.3">
      <c r="A11" s="2" t="s">
        <v>4</v>
      </c>
      <c r="B11" s="3"/>
    </row>
    <row r="12" spans="1:2" ht="16.2" customHeight="1" x14ac:dyDescent="0.3">
      <c r="A12" s="3" t="s">
        <v>0</v>
      </c>
    </row>
    <row r="13" spans="1:2" ht="16.2" customHeight="1" x14ac:dyDescent="0.3">
      <c r="A13" s="2" t="s">
        <v>27</v>
      </c>
      <c r="B13" s="3"/>
    </row>
    <row r="14" spans="1:2" ht="16.2" customHeight="1" x14ac:dyDescent="0.3">
      <c r="A14" s="3" t="s">
        <v>49</v>
      </c>
    </row>
    <row r="15" spans="1:2" ht="16.2" customHeight="1" x14ac:dyDescent="0.3">
      <c r="A15" s="1" t="s">
        <v>12</v>
      </c>
    </row>
    <row r="16" spans="1:2" ht="16.2" customHeight="1" x14ac:dyDescent="0.3">
      <c r="A16" s="3" t="s">
        <v>13</v>
      </c>
    </row>
    <row r="17" spans="1:2" ht="16.2" customHeight="1" x14ac:dyDescent="0.3">
      <c r="A17" s="2" t="s">
        <v>59</v>
      </c>
      <c r="B17" s="3"/>
    </row>
    <row r="18" spans="1:2" ht="16.2" customHeight="1" x14ac:dyDescent="0.3">
      <c r="A18" s="3" t="s">
        <v>4</v>
      </c>
    </row>
    <row r="19" spans="1:2" ht="16.2" customHeight="1" x14ac:dyDescent="0.3">
      <c r="A19" s="2" t="s">
        <v>60</v>
      </c>
      <c r="B19" s="3"/>
    </row>
    <row r="20" spans="1:2" ht="16.2" customHeight="1" x14ac:dyDescent="0.3">
      <c r="A20" s="3" t="s">
        <v>61</v>
      </c>
    </row>
    <row r="21" spans="1:2" ht="16.2" customHeight="1" x14ac:dyDescent="0.3">
      <c r="A21" s="2">
        <v>1</v>
      </c>
      <c r="B21" s="3"/>
    </row>
    <row r="22" spans="1:2" ht="16.2" customHeight="1" x14ac:dyDescent="0.3">
      <c r="A22" s="3" t="s">
        <v>3</v>
      </c>
    </row>
    <row r="23" spans="1:2" ht="16.2" customHeight="1" x14ac:dyDescent="0.3">
      <c r="A23" s="2"/>
      <c r="B23" s="3"/>
    </row>
    <row r="24" spans="1:2" x14ac:dyDescent="0.3">
      <c r="A24" t="s">
        <v>4</v>
      </c>
    </row>
    <row r="25" spans="1:2" x14ac:dyDescent="0.3">
      <c r="A25" t="s">
        <v>0</v>
      </c>
    </row>
    <row r="26" spans="1:2" x14ac:dyDescent="0.3">
      <c r="A26" t="s">
        <v>27</v>
      </c>
    </row>
    <row r="27" spans="1:2" x14ac:dyDescent="0.3">
      <c r="A27" t="s">
        <v>50</v>
      </c>
    </row>
    <row r="28" spans="1:2" x14ac:dyDescent="0.3">
      <c r="A28" t="s">
        <v>14</v>
      </c>
    </row>
    <row r="29" spans="1:2" x14ac:dyDescent="0.3">
      <c r="A29" t="s">
        <v>15</v>
      </c>
    </row>
    <row r="30" spans="1:2" x14ac:dyDescent="0.3">
      <c r="A30" t="s">
        <v>59</v>
      </c>
    </row>
    <row r="31" spans="1:2" x14ac:dyDescent="0.3">
      <c r="A31" t="s">
        <v>4</v>
      </c>
    </row>
    <row r="32" spans="1:2" x14ac:dyDescent="0.3">
      <c r="A32" t="s">
        <v>60</v>
      </c>
    </row>
    <row r="33" spans="1:1" x14ac:dyDescent="0.3">
      <c r="A33" t="s">
        <v>61</v>
      </c>
    </row>
    <row r="34" spans="1:1" x14ac:dyDescent="0.3">
      <c r="A34">
        <v>1</v>
      </c>
    </row>
    <row r="35" spans="1:1" x14ac:dyDescent="0.3">
      <c r="A35" t="s">
        <v>3</v>
      </c>
    </row>
    <row r="37" spans="1:1" x14ac:dyDescent="0.3">
      <c r="A37" t="s">
        <v>4</v>
      </c>
    </row>
    <row r="38" spans="1:1" x14ac:dyDescent="0.3">
      <c r="A38" t="s">
        <v>0</v>
      </c>
    </row>
    <row r="39" spans="1:1" x14ac:dyDescent="0.3">
      <c r="A39" t="s">
        <v>27</v>
      </c>
    </row>
    <row r="40" spans="1:1" x14ac:dyDescent="0.3">
      <c r="A40" t="s">
        <v>51</v>
      </c>
    </row>
    <row r="41" spans="1:1" x14ac:dyDescent="0.3">
      <c r="A41" t="s">
        <v>12</v>
      </c>
    </row>
    <row r="42" spans="1:1" x14ac:dyDescent="0.3">
      <c r="A42" t="s">
        <v>16</v>
      </c>
    </row>
    <row r="43" spans="1:1" x14ac:dyDescent="0.3">
      <c r="A43" t="s">
        <v>59</v>
      </c>
    </row>
    <row r="44" spans="1:1" x14ac:dyDescent="0.3">
      <c r="A44" t="s">
        <v>4</v>
      </c>
    </row>
    <row r="45" spans="1:1" x14ac:dyDescent="0.3">
      <c r="A45" t="s">
        <v>60</v>
      </c>
    </row>
    <row r="46" spans="1:1" x14ac:dyDescent="0.3">
      <c r="A46" t="s">
        <v>61</v>
      </c>
    </row>
    <row r="47" spans="1:1" x14ac:dyDescent="0.3">
      <c r="A47">
        <v>1</v>
      </c>
    </row>
    <row r="48" spans="1:1" x14ac:dyDescent="0.3">
      <c r="A48" t="s">
        <v>3</v>
      </c>
    </row>
    <row r="50" spans="1:1" x14ac:dyDescent="0.3">
      <c r="A50" t="s">
        <v>4</v>
      </c>
    </row>
    <row r="51" spans="1:1" x14ac:dyDescent="0.3">
      <c r="A51" t="s">
        <v>0</v>
      </c>
    </row>
    <row r="52" spans="1:1" x14ac:dyDescent="0.3">
      <c r="A52" t="s">
        <v>27</v>
      </c>
    </row>
    <row r="53" spans="1:1" x14ac:dyDescent="0.3">
      <c r="A53" t="s">
        <v>29</v>
      </c>
    </row>
    <row r="54" spans="1:1" x14ac:dyDescent="0.3">
      <c r="A54" t="s">
        <v>17</v>
      </c>
    </row>
    <row r="55" spans="1:1" x14ac:dyDescent="0.3">
      <c r="A55" t="s">
        <v>62</v>
      </c>
    </row>
    <row r="56" spans="1:1" x14ac:dyDescent="0.3">
      <c r="A56" t="s">
        <v>4</v>
      </c>
    </row>
    <row r="57" spans="1:1" x14ac:dyDescent="0.3">
      <c r="A57" t="s">
        <v>34</v>
      </c>
    </row>
    <row r="58" spans="1:1" x14ac:dyDescent="0.3">
      <c r="A58" t="s">
        <v>35</v>
      </c>
    </row>
    <row r="59" spans="1:1" x14ac:dyDescent="0.3">
      <c r="A59">
        <v>4</v>
      </c>
    </row>
    <row r="60" spans="1:1" x14ac:dyDescent="0.3">
      <c r="A60" t="s">
        <v>3</v>
      </c>
    </row>
    <row r="62" spans="1:1" x14ac:dyDescent="0.3">
      <c r="A62" t="s">
        <v>4</v>
      </c>
    </row>
    <row r="63" spans="1:1" x14ac:dyDescent="0.3">
      <c r="A63" t="s">
        <v>0</v>
      </c>
    </row>
    <row r="64" spans="1:1" x14ac:dyDescent="0.3">
      <c r="A64" t="s">
        <v>27</v>
      </c>
    </row>
    <row r="65" spans="1:1" x14ac:dyDescent="0.3">
      <c r="A65" t="s">
        <v>6</v>
      </c>
    </row>
    <row r="66" spans="1:1" x14ac:dyDescent="0.3">
      <c r="A66" t="s">
        <v>2</v>
      </c>
    </row>
    <row r="67" spans="1:1" x14ac:dyDescent="0.3">
      <c r="A67" t="s">
        <v>22</v>
      </c>
    </row>
    <row r="68" spans="1:1" x14ac:dyDescent="0.3">
      <c r="A68" t="s">
        <v>36</v>
      </c>
    </row>
    <row r="69" spans="1:1" x14ac:dyDescent="0.3">
      <c r="A69" t="s">
        <v>4</v>
      </c>
    </row>
    <row r="70" spans="1:1" x14ac:dyDescent="0.3">
      <c r="A70" t="s">
        <v>34</v>
      </c>
    </row>
    <row r="71" spans="1:1" x14ac:dyDescent="0.3">
      <c r="A71" t="s">
        <v>35</v>
      </c>
    </row>
    <row r="72" spans="1:1" x14ac:dyDescent="0.3">
      <c r="A72">
        <v>10</v>
      </c>
    </row>
    <row r="73" spans="1:1" x14ac:dyDescent="0.3">
      <c r="A73" t="s">
        <v>3</v>
      </c>
    </row>
    <row r="75" spans="1:1" x14ac:dyDescent="0.3">
      <c r="A75" t="s">
        <v>4</v>
      </c>
    </row>
    <row r="76" spans="1:1" x14ac:dyDescent="0.3">
      <c r="A76" t="s">
        <v>0</v>
      </c>
    </row>
    <row r="77" spans="1:1" x14ac:dyDescent="0.3">
      <c r="A77" t="s">
        <v>27</v>
      </c>
    </row>
    <row r="78" spans="1:1" x14ac:dyDescent="0.3">
      <c r="A78" t="s">
        <v>28</v>
      </c>
    </row>
    <row r="79" spans="1:1" x14ac:dyDescent="0.3">
      <c r="A79" t="s">
        <v>37</v>
      </c>
    </row>
    <row r="80" spans="1:1" x14ac:dyDescent="0.3">
      <c r="A80" t="s">
        <v>4</v>
      </c>
    </row>
    <row r="81" spans="1:1" x14ac:dyDescent="0.3">
      <c r="A81" t="s">
        <v>38</v>
      </c>
    </row>
    <row r="82" spans="1:1" x14ac:dyDescent="0.3">
      <c r="A82" t="s">
        <v>39</v>
      </c>
    </row>
    <row r="83" spans="1:1" x14ac:dyDescent="0.3">
      <c r="A83">
        <v>4</v>
      </c>
    </row>
    <row r="84" spans="1:1" x14ac:dyDescent="0.3">
      <c r="A84" t="s">
        <v>3</v>
      </c>
    </row>
    <row r="86" spans="1:1" x14ac:dyDescent="0.3">
      <c r="A86" t="s">
        <v>4</v>
      </c>
    </row>
    <row r="87" spans="1:1" x14ac:dyDescent="0.3">
      <c r="A87" t="s">
        <v>0</v>
      </c>
    </row>
    <row r="88" spans="1:1" x14ac:dyDescent="0.3">
      <c r="A88" t="s">
        <v>27</v>
      </c>
    </row>
    <row r="89" spans="1:1" x14ac:dyDescent="0.3">
      <c r="A89" t="s">
        <v>52</v>
      </c>
    </row>
    <row r="90" spans="1:1" x14ac:dyDescent="0.3">
      <c r="A90" t="s">
        <v>2</v>
      </c>
    </row>
    <row r="91" spans="1:1" x14ac:dyDescent="0.3">
      <c r="A91" t="s">
        <v>23</v>
      </c>
    </row>
    <row r="92" spans="1:1" x14ac:dyDescent="0.3">
      <c r="A92" t="s">
        <v>40</v>
      </c>
    </row>
    <row r="93" spans="1:1" x14ac:dyDescent="0.3">
      <c r="A93" t="s">
        <v>4</v>
      </c>
    </row>
    <row r="94" spans="1:1" x14ac:dyDescent="0.3">
      <c r="A94" t="s">
        <v>38</v>
      </c>
    </row>
    <row r="95" spans="1:1" x14ac:dyDescent="0.3">
      <c r="A95" t="s">
        <v>39</v>
      </c>
    </row>
    <row r="96" spans="1:1" x14ac:dyDescent="0.3">
      <c r="A96">
        <v>10</v>
      </c>
    </row>
    <row r="97" spans="1:1" x14ac:dyDescent="0.3">
      <c r="A97" t="s">
        <v>3</v>
      </c>
    </row>
    <row r="99" spans="1:1" x14ac:dyDescent="0.3">
      <c r="A99" t="s">
        <v>63</v>
      </c>
    </row>
    <row r="100" spans="1:1" x14ac:dyDescent="0.3">
      <c r="A100" t="s">
        <v>4</v>
      </c>
    </row>
    <row r="101" spans="1:1" x14ac:dyDescent="0.3">
      <c r="A101" t="s">
        <v>64</v>
      </c>
    </row>
    <row r="102" spans="1:1" x14ac:dyDescent="0.3">
      <c r="A102" t="s">
        <v>65</v>
      </c>
    </row>
    <row r="103" spans="1:1" x14ac:dyDescent="0.3">
      <c r="A103">
        <v>4</v>
      </c>
    </row>
    <row r="104" spans="1:1" x14ac:dyDescent="0.3">
      <c r="A104" t="s">
        <v>3</v>
      </c>
    </row>
    <row r="106" spans="1:1" x14ac:dyDescent="0.3">
      <c r="A106" t="s">
        <v>4</v>
      </c>
    </row>
    <row r="107" spans="1:1" x14ac:dyDescent="0.3">
      <c r="A107" t="s">
        <v>0</v>
      </c>
    </row>
    <row r="108" spans="1:1" x14ac:dyDescent="0.3">
      <c r="A108" t="s">
        <v>27</v>
      </c>
    </row>
    <row r="109" spans="1:1" x14ac:dyDescent="0.3">
      <c r="A109" t="s">
        <v>53</v>
      </c>
    </row>
    <row r="110" spans="1:1" x14ac:dyDescent="0.3">
      <c r="A110" t="s">
        <v>41</v>
      </c>
    </row>
    <row r="111" spans="1:1" x14ac:dyDescent="0.3">
      <c r="A111" t="s">
        <v>4</v>
      </c>
    </row>
    <row r="112" spans="1:1" x14ac:dyDescent="0.3">
      <c r="A112" t="s">
        <v>42</v>
      </c>
    </row>
    <row r="113" spans="1:1" x14ac:dyDescent="0.3">
      <c r="A113" t="s">
        <v>43</v>
      </c>
    </row>
    <row r="114" spans="1:1" x14ac:dyDescent="0.3">
      <c r="A114">
        <v>4</v>
      </c>
    </row>
    <row r="115" spans="1:1" x14ac:dyDescent="0.3">
      <c r="A115" t="s">
        <v>3</v>
      </c>
    </row>
    <row r="117" spans="1:1" x14ac:dyDescent="0.3">
      <c r="A117" t="s">
        <v>63</v>
      </c>
    </row>
    <row r="118" spans="1:1" x14ac:dyDescent="0.3">
      <c r="A118" t="s">
        <v>4</v>
      </c>
    </row>
    <row r="119" spans="1:1" x14ac:dyDescent="0.3">
      <c r="A119" t="s">
        <v>64</v>
      </c>
    </row>
    <row r="120" spans="1:1" x14ac:dyDescent="0.3">
      <c r="A120" t="s">
        <v>65</v>
      </c>
    </row>
    <row r="121" spans="1:1" x14ac:dyDescent="0.3">
      <c r="A121">
        <v>8</v>
      </c>
    </row>
    <row r="122" spans="1:1" x14ac:dyDescent="0.3">
      <c r="A122" t="s">
        <v>3</v>
      </c>
    </row>
    <row r="124" spans="1:1" x14ac:dyDescent="0.3">
      <c r="A124" t="s">
        <v>4</v>
      </c>
    </row>
    <row r="125" spans="1:1" x14ac:dyDescent="0.3">
      <c r="A125" t="s">
        <v>0</v>
      </c>
    </row>
    <row r="126" spans="1:1" x14ac:dyDescent="0.3">
      <c r="A126" t="s">
        <v>27</v>
      </c>
    </row>
    <row r="127" spans="1:1" x14ac:dyDescent="0.3">
      <c r="A127" t="s">
        <v>29</v>
      </c>
    </row>
    <row r="128" spans="1:1" x14ac:dyDescent="0.3">
      <c r="A128" t="s">
        <v>2</v>
      </c>
    </row>
    <row r="129" spans="1:1" x14ac:dyDescent="0.3">
      <c r="A129" t="s">
        <v>24</v>
      </c>
    </row>
    <row r="130" spans="1:1" x14ac:dyDescent="0.3">
      <c r="A130" t="s">
        <v>44</v>
      </c>
    </row>
    <row r="131" spans="1:1" x14ac:dyDescent="0.3">
      <c r="A131" t="s">
        <v>4</v>
      </c>
    </row>
    <row r="132" spans="1:1" x14ac:dyDescent="0.3">
      <c r="A132" t="s">
        <v>42</v>
      </c>
    </row>
    <row r="133" spans="1:1" x14ac:dyDescent="0.3">
      <c r="A133" t="s">
        <v>43</v>
      </c>
    </row>
    <row r="134" spans="1:1" x14ac:dyDescent="0.3">
      <c r="A134">
        <v>10</v>
      </c>
    </row>
    <row r="135" spans="1:1" x14ac:dyDescent="0.3">
      <c r="A135" t="s">
        <v>3</v>
      </c>
    </row>
    <row r="137" spans="1:1" x14ac:dyDescent="0.3">
      <c r="A137" t="s">
        <v>66</v>
      </c>
    </row>
    <row r="138" spans="1:1" x14ac:dyDescent="0.3">
      <c r="A138" t="s">
        <v>4</v>
      </c>
    </row>
    <row r="139" spans="1:1" x14ac:dyDescent="0.3">
      <c r="A139" t="s">
        <v>67</v>
      </c>
    </row>
    <row r="140" spans="1:1" x14ac:dyDescent="0.3">
      <c r="A140" t="s">
        <v>68</v>
      </c>
    </row>
    <row r="141" spans="1:1" x14ac:dyDescent="0.3">
      <c r="A141">
        <v>12</v>
      </c>
    </row>
    <row r="142" spans="1:1" x14ac:dyDescent="0.3">
      <c r="A142" t="s">
        <v>3</v>
      </c>
    </row>
    <row r="144" spans="1:1" x14ac:dyDescent="0.3">
      <c r="A144" t="s">
        <v>4</v>
      </c>
    </row>
    <row r="145" spans="1:1" x14ac:dyDescent="0.3">
      <c r="A145" t="s">
        <v>0</v>
      </c>
    </row>
    <row r="146" spans="1:1" x14ac:dyDescent="0.3">
      <c r="A146" t="s">
        <v>27</v>
      </c>
    </row>
    <row r="147" spans="1:1" x14ac:dyDescent="0.3">
      <c r="A147" t="s">
        <v>7</v>
      </c>
    </row>
    <row r="148" spans="1:1" x14ac:dyDescent="0.3">
      <c r="A148" t="s">
        <v>69</v>
      </c>
    </row>
    <row r="149" spans="1:1" x14ac:dyDescent="0.3">
      <c r="A149" t="s">
        <v>4</v>
      </c>
    </row>
    <row r="150" spans="1:1" x14ac:dyDescent="0.3">
      <c r="A150" t="s">
        <v>67</v>
      </c>
    </row>
    <row r="151" spans="1:1" x14ac:dyDescent="0.3">
      <c r="A151" t="s">
        <v>68</v>
      </c>
    </row>
    <row r="152" spans="1:1" x14ac:dyDescent="0.3">
      <c r="A152">
        <v>24</v>
      </c>
    </row>
    <row r="153" spans="1:1" x14ac:dyDescent="0.3">
      <c r="A153" t="s">
        <v>3</v>
      </c>
    </row>
    <row r="155" spans="1:1" x14ac:dyDescent="0.3">
      <c r="A155" t="s">
        <v>46</v>
      </c>
    </row>
    <row r="156" spans="1:1" x14ac:dyDescent="0.3">
      <c r="A156" t="s">
        <v>4</v>
      </c>
    </row>
    <row r="157" spans="1:1" x14ac:dyDescent="0.3">
      <c r="A157" t="s">
        <v>47</v>
      </c>
    </row>
    <row r="158" spans="1:1" x14ac:dyDescent="0.3">
      <c r="A158" t="s">
        <v>48</v>
      </c>
    </row>
    <row r="159" spans="1:1" x14ac:dyDescent="0.3">
      <c r="A159">
        <v>2</v>
      </c>
    </row>
    <row r="160" spans="1:1" x14ac:dyDescent="0.3">
      <c r="A160" t="s">
        <v>3</v>
      </c>
    </row>
    <row r="162" spans="1:1" x14ac:dyDescent="0.3">
      <c r="A162" t="s">
        <v>4</v>
      </c>
    </row>
    <row r="163" spans="1:1" x14ac:dyDescent="0.3">
      <c r="A163" t="s">
        <v>0</v>
      </c>
    </row>
    <row r="164" spans="1:1" x14ac:dyDescent="0.3">
      <c r="A164" t="s">
        <v>27</v>
      </c>
    </row>
    <row r="165" spans="1:1" x14ac:dyDescent="0.3">
      <c r="A165" t="s">
        <v>8</v>
      </c>
    </row>
    <row r="166" spans="1:1" x14ac:dyDescent="0.3">
      <c r="A166" t="s">
        <v>2</v>
      </c>
    </row>
    <row r="167" spans="1:1" x14ac:dyDescent="0.3">
      <c r="A167" t="s">
        <v>25</v>
      </c>
    </row>
    <row r="168" spans="1:1" x14ac:dyDescent="0.3">
      <c r="A168" t="s">
        <v>46</v>
      </c>
    </row>
    <row r="169" spans="1:1" x14ac:dyDescent="0.3">
      <c r="A169" t="s">
        <v>4</v>
      </c>
    </row>
    <row r="170" spans="1:1" x14ac:dyDescent="0.3">
      <c r="A170" t="s">
        <v>47</v>
      </c>
    </row>
    <row r="171" spans="1:1" x14ac:dyDescent="0.3">
      <c r="A171" t="s">
        <v>48</v>
      </c>
    </row>
    <row r="172" spans="1:1" x14ac:dyDescent="0.3">
      <c r="A172">
        <v>6</v>
      </c>
    </row>
    <row r="173" spans="1:1" x14ac:dyDescent="0.3">
      <c r="A173" t="s">
        <v>3</v>
      </c>
    </row>
    <row r="175" spans="1:1" x14ac:dyDescent="0.3">
      <c r="A175" t="s">
        <v>58</v>
      </c>
    </row>
    <row r="176" spans="1:1" x14ac:dyDescent="0.3">
      <c r="A176" t="s">
        <v>4</v>
      </c>
    </row>
    <row r="177" spans="1:1" x14ac:dyDescent="0.3">
      <c r="A177" t="s">
        <v>32</v>
      </c>
    </row>
    <row r="178" spans="1:1" x14ac:dyDescent="0.3">
      <c r="A178" t="s">
        <v>33</v>
      </c>
    </row>
    <row r="179" spans="1:1" x14ac:dyDescent="0.3">
      <c r="A179">
        <v>8</v>
      </c>
    </row>
    <row r="180" spans="1:1" x14ac:dyDescent="0.3">
      <c r="A180" t="s">
        <v>3</v>
      </c>
    </row>
    <row r="182" spans="1:1" x14ac:dyDescent="0.3">
      <c r="A182" t="s">
        <v>4</v>
      </c>
    </row>
    <row r="183" spans="1:1" x14ac:dyDescent="0.3">
      <c r="A183" t="s">
        <v>0</v>
      </c>
    </row>
    <row r="184" spans="1:1" x14ac:dyDescent="0.3">
      <c r="A184" t="s">
        <v>27</v>
      </c>
    </row>
    <row r="185" spans="1:1" x14ac:dyDescent="0.3">
      <c r="A185" t="s">
        <v>54</v>
      </c>
    </row>
    <row r="186" spans="1:1" x14ac:dyDescent="0.3">
      <c r="A186" t="s">
        <v>26</v>
      </c>
    </row>
    <row r="187" spans="1:1" x14ac:dyDescent="0.3">
      <c r="A187" t="s">
        <v>4</v>
      </c>
    </row>
    <row r="188" spans="1:1" x14ac:dyDescent="0.3">
      <c r="A188" t="s">
        <v>1</v>
      </c>
    </row>
    <row r="189" spans="1:1" x14ac:dyDescent="0.3">
      <c r="A189" t="s">
        <v>31</v>
      </c>
    </row>
    <row r="190" spans="1:1" x14ac:dyDescent="0.3">
      <c r="A190">
        <v>1</v>
      </c>
    </row>
    <row r="191" spans="1:1" x14ac:dyDescent="0.3">
      <c r="A191" t="s">
        <v>3</v>
      </c>
    </row>
    <row r="193" spans="1:1" x14ac:dyDescent="0.3">
      <c r="A193" t="s">
        <v>4</v>
      </c>
    </row>
    <row r="194" spans="1:1" x14ac:dyDescent="0.3">
      <c r="A194" t="s">
        <v>0</v>
      </c>
    </row>
    <row r="195" spans="1:1" x14ac:dyDescent="0.3">
      <c r="A195" t="s">
        <v>27</v>
      </c>
    </row>
    <row r="196" spans="1:1" x14ac:dyDescent="0.3">
      <c r="A196" t="s">
        <v>30</v>
      </c>
    </row>
    <row r="197" spans="1:1" x14ac:dyDescent="0.3">
      <c r="A197" t="s">
        <v>18</v>
      </c>
    </row>
    <row r="198" spans="1:1" x14ac:dyDescent="0.3">
      <c r="A198" t="s">
        <v>19</v>
      </c>
    </row>
    <row r="201" spans="1:1" x14ac:dyDescent="0.3">
      <c r="A201" t="s">
        <v>70</v>
      </c>
    </row>
    <row r="202" spans="1:1" x14ac:dyDescent="0.3">
      <c r="A202">
        <v>0</v>
      </c>
    </row>
    <row r="203" spans="1:1" x14ac:dyDescent="0.3">
      <c r="A203" t="s">
        <v>20</v>
      </c>
    </row>
    <row r="205" spans="1:1" x14ac:dyDescent="0.3">
      <c r="A205" t="s">
        <v>21</v>
      </c>
    </row>
    <row r="208" spans="1:1" x14ac:dyDescent="0.3">
      <c r="A208" t="s">
        <v>70</v>
      </c>
    </row>
    <row r="209" spans="1:1" x14ac:dyDescent="0.3">
      <c r="A209">
        <v>120</v>
      </c>
    </row>
    <row r="210" spans="1:1" x14ac:dyDescent="0.3">
      <c r="A210" t="s">
        <v>20</v>
      </c>
    </row>
    <row r="212" spans="1:1" x14ac:dyDescent="0.3">
      <c r="A212" t="s">
        <v>45</v>
      </c>
    </row>
    <row r="213" spans="1:1" x14ac:dyDescent="0.3">
      <c r="A213" t="s">
        <v>4</v>
      </c>
    </row>
    <row r="214" spans="1:1" x14ac:dyDescent="0.3">
      <c r="A214" t="s">
        <v>34</v>
      </c>
    </row>
    <row r="215" spans="1:1" x14ac:dyDescent="0.3">
      <c r="A215" t="s">
        <v>35</v>
      </c>
    </row>
    <row r="216" spans="1:1" x14ac:dyDescent="0.3">
      <c r="A216">
        <v>4</v>
      </c>
    </row>
    <row r="217" spans="1:1" x14ac:dyDescent="0.3">
      <c r="A217" t="s">
        <v>3</v>
      </c>
    </row>
    <row r="219" spans="1:1" x14ac:dyDescent="0.3">
      <c r="A219" t="s">
        <v>4</v>
      </c>
    </row>
    <row r="220" spans="1:1" x14ac:dyDescent="0.3">
      <c r="A220" t="s">
        <v>0</v>
      </c>
    </row>
    <row r="221" spans="1:1" x14ac:dyDescent="0.3">
      <c r="A221" t="s">
        <v>27</v>
      </c>
    </row>
    <row r="222" spans="1:1" x14ac:dyDescent="0.3">
      <c r="A222" t="s">
        <v>6</v>
      </c>
    </row>
    <row r="223" spans="1:1" x14ac:dyDescent="0.3">
      <c r="A223" t="s">
        <v>2</v>
      </c>
    </row>
    <row r="224" spans="1:1" x14ac:dyDescent="0.3">
      <c r="A224" t="s">
        <v>22</v>
      </c>
    </row>
    <row r="225" spans="1:1" x14ac:dyDescent="0.3">
      <c r="A225" t="s">
        <v>36</v>
      </c>
    </row>
    <row r="226" spans="1:1" x14ac:dyDescent="0.3">
      <c r="A226" t="s">
        <v>4</v>
      </c>
    </row>
    <row r="227" spans="1:1" x14ac:dyDescent="0.3">
      <c r="A227" t="s">
        <v>34</v>
      </c>
    </row>
    <row r="228" spans="1:1" x14ac:dyDescent="0.3">
      <c r="A228" t="s">
        <v>35</v>
      </c>
    </row>
    <row r="229" spans="1:1" x14ac:dyDescent="0.3">
      <c r="A229">
        <v>10</v>
      </c>
    </row>
    <row r="230" spans="1:1" x14ac:dyDescent="0.3">
      <c r="A230" t="s">
        <v>3</v>
      </c>
    </row>
    <row r="232" spans="1:1" x14ac:dyDescent="0.3">
      <c r="A232" t="s">
        <v>4</v>
      </c>
    </row>
    <row r="233" spans="1:1" x14ac:dyDescent="0.3">
      <c r="A233" t="s">
        <v>0</v>
      </c>
    </row>
    <row r="234" spans="1:1" x14ac:dyDescent="0.3">
      <c r="A234" t="s">
        <v>27</v>
      </c>
    </row>
    <row r="235" spans="1:1" x14ac:dyDescent="0.3">
      <c r="A235" t="s">
        <v>28</v>
      </c>
    </row>
    <row r="236" spans="1:1" x14ac:dyDescent="0.3">
      <c r="A236" t="s">
        <v>37</v>
      </c>
    </row>
    <row r="237" spans="1:1" x14ac:dyDescent="0.3">
      <c r="A237" t="s">
        <v>4</v>
      </c>
    </row>
    <row r="238" spans="1:1" x14ac:dyDescent="0.3">
      <c r="A238" t="s">
        <v>38</v>
      </c>
    </row>
    <row r="239" spans="1:1" x14ac:dyDescent="0.3">
      <c r="A239" t="s">
        <v>39</v>
      </c>
    </row>
    <row r="240" spans="1:1" x14ac:dyDescent="0.3">
      <c r="A240">
        <v>4</v>
      </c>
    </row>
    <row r="241" spans="1:1" x14ac:dyDescent="0.3">
      <c r="A241" t="s">
        <v>3</v>
      </c>
    </row>
    <row r="243" spans="1:1" x14ac:dyDescent="0.3">
      <c r="A243" t="s">
        <v>4</v>
      </c>
    </row>
    <row r="244" spans="1:1" x14ac:dyDescent="0.3">
      <c r="A244" t="s">
        <v>0</v>
      </c>
    </row>
    <row r="245" spans="1:1" x14ac:dyDescent="0.3">
      <c r="A245" t="s">
        <v>27</v>
      </c>
    </row>
    <row r="246" spans="1:1" x14ac:dyDescent="0.3">
      <c r="A246" t="s">
        <v>52</v>
      </c>
    </row>
    <row r="247" spans="1:1" x14ac:dyDescent="0.3">
      <c r="A247" t="s">
        <v>2</v>
      </c>
    </row>
    <row r="248" spans="1:1" x14ac:dyDescent="0.3">
      <c r="A248" t="s">
        <v>23</v>
      </c>
    </row>
    <row r="249" spans="1:1" x14ac:dyDescent="0.3">
      <c r="A249" t="s">
        <v>40</v>
      </c>
    </row>
    <row r="250" spans="1:1" x14ac:dyDescent="0.3">
      <c r="A250" t="s">
        <v>4</v>
      </c>
    </row>
    <row r="251" spans="1:1" x14ac:dyDescent="0.3">
      <c r="A251" t="s">
        <v>38</v>
      </c>
    </row>
    <row r="252" spans="1:1" x14ac:dyDescent="0.3">
      <c r="A252" t="s">
        <v>39</v>
      </c>
    </row>
    <row r="253" spans="1:1" x14ac:dyDescent="0.3">
      <c r="A253">
        <v>10</v>
      </c>
    </row>
    <row r="254" spans="1:1" x14ac:dyDescent="0.3">
      <c r="A254" t="s">
        <v>3</v>
      </c>
    </row>
    <row r="256" spans="1:1" x14ac:dyDescent="0.3">
      <c r="A256" t="s">
        <v>55</v>
      </c>
    </row>
    <row r="257" spans="1:1" x14ac:dyDescent="0.3">
      <c r="A257" t="s">
        <v>4</v>
      </c>
    </row>
    <row r="258" spans="1:1" x14ac:dyDescent="0.3">
      <c r="A258" t="s">
        <v>56</v>
      </c>
    </row>
    <row r="259" spans="1:1" x14ac:dyDescent="0.3">
      <c r="A259" t="s">
        <v>57</v>
      </c>
    </row>
    <row r="260" spans="1:1" x14ac:dyDescent="0.3">
      <c r="A260">
        <v>4</v>
      </c>
    </row>
    <row r="261" spans="1:1" x14ac:dyDescent="0.3">
      <c r="A261" t="s">
        <v>3</v>
      </c>
    </row>
    <row r="263" spans="1:1" x14ac:dyDescent="0.3">
      <c r="A263" t="s">
        <v>4</v>
      </c>
    </row>
    <row r="264" spans="1:1" x14ac:dyDescent="0.3">
      <c r="A264" t="s">
        <v>0</v>
      </c>
    </row>
    <row r="265" spans="1:1" x14ac:dyDescent="0.3">
      <c r="A265" t="s">
        <v>27</v>
      </c>
    </row>
    <row r="266" spans="1:1" x14ac:dyDescent="0.3">
      <c r="A266" t="s">
        <v>53</v>
      </c>
    </row>
    <row r="267" spans="1:1" x14ac:dyDescent="0.3">
      <c r="A267" t="s">
        <v>41</v>
      </c>
    </row>
    <row r="268" spans="1:1" x14ac:dyDescent="0.3">
      <c r="A268" t="s">
        <v>4</v>
      </c>
    </row>
    <row r="269" spans="1:1" x14ac:dyDescent="0.3">
      <c r="A269" t="s">
        <v>42</v>
      </c>
    </row>
    <row r="270" spans="1:1" x14ac:dyDescent="0.3">
      <c r="A270" t="s">
        <v>43</v>
      </c>
    </row>
    <row r="271" spans="1:1" x14ac:dyDescent="0.3">
      <c r="A271">
        <v>4</v>
      </c>
    </row>
    <row r="272" spans="1:1" x14ac:dyDescent="0.3">
      <c r="A272" t="s">
        <v>3</v>
      </c>
    </row>
    <row r="274" spans="1:1" x14ac:dyDescent="0.3">
      <c r="A274" t="s">
        <v>55</v>
      </c>
    </row>
    <row r="275" spans="1:1" x14ac:dyDescent="0.3">
      <c r="A275" t="s">
        <v>4</v>
      </c>
    </row>
    <row r="276" spans="1:1" x14ac:dyDescent="0.3">
      <c r="A276" t="s">
        <v>56</v>
      </c>
    </row>
    <row r="277" spans="1:1" x14ac:dyDescent="0.3">
      <c r="A277" t="s">
        <v>57</v>
      </c>
    </row>
    <row r="278" spans="1:1" x14ac:dyDescent="0.3">
      <c r="A278">
        <v>8</v>
      </c>
    </row>
    <row r="279" spans="1:1" x14ac:dyDescent="0.3">
      <c r="A279" t="s">
        <v>3</v>
      </c>
    </row>
    <row r="281" spans="1:1" x14ac:dyDescent="0.3">
      <c r="A281" t="s">
        <v>4</v>
      </c>
    </row>
    <row r="282" spans="1:1" x14ac:dyDescent="0.3">
      <c r="A282" t="s">
        <v>0</v>
      </c>
    </row>
    <row r="283" spans="1:1" x14ac:dyDescent="0.3">
      <c r="A283" t="s">
        <v>27</v>
      </c>
    </row>
    <row r="284" spans="1:1" x14ac:dyDescent="0.3">
      <c r="A284" t="s">
        <v>29</v>
      </c>
    </row>
    <row r="285" spans="1:1" x14ac:dyDescent="0.3">
      <c r="A285" t="s">
        <v>2</v>
      </c>
    </row>
    <row r="286" spans="1:1" x14ac:dyDescent="0.3">
      <c r="A286" t="s">
        <v>24</v>
      </c>
    </row>
    <row r="287" spans="1:1" x14ac:dyDescent="0.3">
      <c r="A287" t="s">
        <v>44</v>
      </c>
    </row>
    <row r="288" spans="1:1" x14ac:dyDescent="0.3">
      <c r="A288" t="s">
        <v>4</v>
      </c>
    </row>
    <row r="289" spans="1:1" x14ac:dyDescent="0.3">
      <c r="A289" t="s">
        <v>42</v>
      </c>
    </row>
    <row r="290" spans="1:1" x14ac:dyDescent="0.3">
      <c r="A290" t="s">
        <v>43</v>
      </c>
    </row>
    <row r="291" spans="1:1" x14ac:dyDescent="0.3">
      <c r="A291">
        <v>10</v>
      </c>
    </row>
    <row r="292" spans="1:1" x14ac:dyDescent="0.3">
      <c r="A292" t="s">
        <v>3</v>
      </c>
    </row>
    <row r="294" spans="1:1" x14ac:dyDescent="0.3">
      <c r="A294" t="s">
        <v>71</v>
      </c>
    </row>
    <row r="295" spans="1:1" x14ac:dyDescent="0.3">
      <c r="A295" t="s">
        <v>4</v>
      </c>
    </row>
    <row r="296" spans="1:1" x14ac:dyDescent="0.3">
      <c r="A296" t="s">
        <v>72</v>
      </c>
    </row>
    <row r="297" spans="1:1" x14ac:dyDescent="0.3">
      <c r="A297" t="s">
        <v>73</v>
      </c>
    </row>
    <row r="298" spans="1:1" x14ac:dyDescent="0.3">
      <c r="A298">
        <v>4</v>
      </c>
    </row>
    <row r="299" spans="1:1" x14ac:dyDescent="0.3">
      <c r="A299" t="s">
        <v>3</v>
      </c>
    </row>
    <row r="301" spans="1:1" x14ac:dyDescent="0.3">
      <c r="A301" t="s">
        <v>4</v>
      </c>
    </row>
    <row r="302" spans="1:1" x14ac:dyDescent="0.3">
      <c r="A302" t="s">
        <v>0</v>
      </c>
    </row>
    <row r="303" spans="1:1" x14ac:dyDescent="0.3">
      <c r="A303" t="s">
        <v>27</v>
      </c>
    </row>
    <row r="304" spans="1:1" x14ac:dyDescent="0.3">
      <c r="A304" t="s">
        <v>7</v>
      </c>
    </row>
    <row r="305" spans="1:1" x14ac:dyDescent="0.3">
      <c r="A305" t="s">
        <v>74</v>
      </c>
    </row>
    <row r="306" spans="1:1" x14ac:dyDescent="0.3">
      <c r="A306" t="s">
        <v>4</v>
      </c>
    </row>
    <row r="307" spans="1:1" x14ac:dyDescent="0.3">
      <c r="A307" t="s">
        <v>72</v>
      </c>
    </row>
    <row r="308" spans="1:1" x14ac:dyDescent="0.3">
      <c r="A308" t="s">
        <v>73</v>
      </c>
    </row>
    <row r="309" spans="1:1" x14ac:dyDescent="0.3">
      <c r="A309">
        <v>8</v>
      </c>
    </row>
    <row r="310" spans="1:1" x14ac:dyDescent="0.3">
      <c r="A310" t="s">
        <v>3</v>
      </c>
    </row>
    <row r="312" spans="1:1" x14ac:dyDescent="0.3">
      <c r="A312" t="s">
        <v>75</v>
      </c>
    </row>
    <row r="313" spans="1:1" x14ac:dyDescent="0.3">
      <c r="A313" t="s">
        <v>4</v>
      </c>
    </row>
    <row r="314" spans="1:1" x14ac:dyDescent="0.3">
      <c r="A314" t="s">
        <v>76</v>
      </c>
    </row>
    <row r="315" spans="1:1" x14ac:dyDescent="0.3">
      <c r="A315" t="s">
        <v>77</v>
      </c>
    </row>
    <row r="316" spans="1:1" x14ac:dyDescent="0.3">
      <c r="A316">
        <v>5</v>
      </c>
    </row>
    <row r="317" spans="1:1" x14ac:dyDescent="0.3">
      <c r="A317" t="s">
        <v>3</v>
      </c>
    </row>
    <row r="319" spans="1:1" x14ac:dyDescent="0.3">
      <c r="A319" t="s">
        <v>4</v>
      </c>
    </row>
    <row r="320" spans="1:1" x14ac:dyDescent="0.3">
      <c r="A320" t="s">
        <v>0</v>
      </c>
    </row>
    <row r="321" spans="1:1" x14ac:dyDescent="0.3">
      <c r="A321" t="s">
        <v>27</v>
      </c>
    </row>
    <row r="322" spans="1:1" x14ac:dyDescent="0.3">
      <c r="A322" t="s">
        <v>8</v>
      </c>
    </row>
    <row r="323" spans="1:1" x14ac:dyDescent="0.3">
      <c r="A323" t="s">
        <v>2</v>
      </c>
    </row>
    <row r="324" spans="1:1" x14ac:dyDescent="0.3">
      <c r="A324" t="s">
        <v>25</v>
      </c>
    </row>
    <row r="325" spans="1:1" x14ac:dyDescent="0.3">
      <c r="A325" t="s">
        <v>75</v>
      </c>
    </row>
    <row r="326" spans="1:1" x14ac:dyDescent="0.3">
      <c r="A326" t="s">
        <v>4</v>
      </c>
    </row>
    <row r="327" spans="1:1" x14ac:dyDescent="0.3">
      <c r="A327" t="s">
        <v>76</v>
      </c>
    </row>
    <row r="328" spans="1:1" x14ac:dyDescent="0.3">
      <c r="A328" t="s">
        <v>77</v>
      </c>
    </row>
    <row r="329" spans="1:1" x14ac:dyDescent="0.3">
      <c r="A329">
        <v>15</v>
      </c>
    </row>
    <row r="330" spans="1:1" x14ac:dyDescent="0.3">
      <c r="A330" t="s">
        <v>3</v>
      </c>
    </row>
    <row r="332" spans="1:1" x14ac:dyDescent="0.3">
      <c r="A332" t="s">
        <v>78</v>
      </c>
    </row>
    <row r="333" spans="1:1" x14ac:dyDescent="0.3">
      <c r="A333" t="s">
        <v>4</v>
      </c>
    </row>
    <row r="334" spans="1:1" x14ac:dyDescent="0.3">
      <c r="A334" t="s">
        <v>79</v>
      </c>
    </row>
    <row r="335" spans="1:1" x14ac:dyDescent="0.3">
      <c r="A335" t="s">
        <v>80</v>
      </c>
    </row>
    <row r="336" spans="1:1" x14ac:dyDescent="0.3">
      <c r="A336">
        <v>60</v>
      </c>
    </row>
    <row r="337" spans="1:1" x14ac:dyDescent="0.3">
      <c r="A337" t="s">
        <v>3</v>
      </c>
    </row>
    <row r="339" spans="1:1" x14ac:dyDescent="0.3">
      <c r="A339" t="s">
        <v>4</v>
      </c>
    </row>
    <row r="340" spans="1:1" x14ac:dyDescent="0.3">
      <c r="A340" t="s">
        <v>0</v>
      </c>
    </row>
    <row r="341" spans="1:1" x14ac:dyDescent="0.3">
      <c r="A341" t="s">
        <v>27</v>
      </c>
    </row>
    <row r="342" spans="1:1" x14ac:dyDescent="0.3">
      <c r="A342" t="s">
        <v>54</v>
      </c>
    </row>
    <row r="343" spans="1:1" x14ac:dyDescent="0.3">
      <c r="A343" t="s">
        <v>26</v>
      </c>
    </row>
    <row r="344" spans="1:1" x14ac:dyDescent="0.3">
      <c r="A344" t="s">
        <v>4</v>
      </c>
    </row>
    <row r="345" spans="1:1" x14ac:dyDescent="0.3">
      <c r="A345" t="s">
        <v>1</v>
      </c>
    </row>
    <row r="346" spans="1:1" x14ac:dyDescent="0.3">
      <c r="A346" t="s">
        <v>31</v>
      </c>
    </row>
    <row r="347" spans="1:1" x14ac:dyDescent="0.3">
      <c r="A347">
        <v>1</v>
      </c>
    </row>
    <row r="348" spans="1:1" x14ac:dyDescent="0.3">
      <c r="A348" t="s">
        <v>3</v>
      </c>
    </row>
    <row r="350" spans="1:1" x14ac:dyDescent="0.3">
      <c r="A350" t="s">
        <v>4</v>
      </c>
    </row>
    <row r="351" spans="1:1" x14ac:dyDescent="0.3">
      <c r="A351" t="s">
        <v>0</v>
      </c>
    </row>
    <row r="352" spans="1:1" x14ac:dyDescent="0.3">
      <c r="A352" t="s">
        <v>27</v>
      </c>
    </row>
    <row r="353" spans="1:1" x14ac:dyDescent="0.3">
      <c r="A353" t="s">
        <v>30</v>
      </c>
    </row>
    <row r="354" spans="1:1" x14ac:dyDescent="0.3">
      <c r="A354" t="s">
        <v>5</v>
      </c>
    </row>
  </sheetData>
  <phoneticPr fontId="3" type="noConversion"/>
  <conditionalFormatting sqref="A1:A1048576">
    <cfRule type="cellIs" dxfId="1" priority="2" operator="equal">
      <formula>"itemMT"</formula>
    </cfRule>
    <cfRule type="containsText" dxfId="0" priority="1" operator="containsText" text="itemMT">
      <formula>NOT(ISERROR(SEARCH("itemMT",A1)))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FA262-33CC-4D5F-9D13-A4AD9F0E6744}">
  <sheetPr codeName="工作表2"/>
  <dimension ref="D1:Z8"/>
  <sheetViews>
    <sheetView tabSelected="1" workbookViewId="0">
      <selection activeCell="R14" sqref="R14"/>
    </sheetView>
  </sheetViews>
  <sheetFormatPr defaultRowHeight="16.2" x14ac:dyDescent="0.3"/>
  <cols>
    <col min="2" max="2" width="4.77734375" customWidth="1"/>
    <col min="3" max="3" width="2.109375" customWidth="1"/>
    <col min="4" max="4" width="22.6640625" bestFit="1" customWidth="1"/>
    <col min="5" max="5" width="3.5546875" bestFit="1" customWidth="1"/>
    <col min="6" max="6" width="2.21875" customWidth="1"/>
    <col min="7" max="7" width="2" customWidth="1"/>
    <col min="8" max="8" width="2.5546875" customWidth="1"/>
    <col min="9" max="9" width="12.88671875" bestFit="1" customWidth="1"/>
    <col min="10" max="10" width="3.5546875" bestFit="1" customWidth="1"/>
    <col min="11" max="11" width="22.6640625" bestFit="1" customWidth="1"/>
    <col min="12" max="12" width="3.5546875" bestFit="1" customWidth="1"/>
    <col min="13" max="13" width="12.88671875" bestFit="1" customWidth="1"/>
    <col min="14" max="14" width="3.5546875" bestFit="1" customWidth="1"/>
    <col min="15" max="15" width="10.44140625" bestFit="1" customWidth="1"/>
    <col min="16" max="16" width="3.5546875" bestFit="1" customWidth="1"/>
    <col min="17" max="17" width="12.88671875" bestFit="1" customWidth="1"/>
    <col min="18" max="18" width="3.5546875" bestFit="1" customWidth="1"/>
    <col min="19" max="19" width="10.44140625" bestFit="1" customWidth="1"/>
    <col min="20" max="20" width="3.5546875" bestFit="1" customWidth="1"/>
    <col min="21" max="21" width="12.88671875" bestFit="1" customWidth="1"/>
    <col min="22" max="22" width="3.5546875" bestFit="1" customWidth="1"/>
    <col min="23" max="23" width="15.33203125" bestFit="1" customWidth="1"/>
    <col min="24" max="24" width="3.5546875" bestFit="1" customWidth="1"/>
    <col min="25" max="25" width="10.44140625" bestFit="1" customWidth="1"/>
    <col min="26" max="26" width="2.5546875" bestFit="1" customWidth="1"/>
    <col min="27" max="27" width="10.44140625" bestFit="1" customWidth="1"/>
    <col min="28" max="28" width="2.5546875" bestFit="1" customWidth="1"/>
  </cols>
  <sheetData>
    <row r="1" spans="4:26" x14ac:dyDescent="0.3">
      <c r="D1" t="s">
        <v>81</v>
      </c>
      <c r="I1" t="s">
        <v>34</v>
      </c>
      <c r="J1">
        <v>4</v>
      </c>
      <c r="K1" t="s">
        <v>34</v>
      </c>
      <c r="L1">
        <v>10</v>
      </c>
      <c r="M1" t="s">
        <v>38</v>
      </c>
      <c r="N1">
        <v>4</v>
      </c>
      <c r="O1" t="s">
        <v>38</v>
      </c>
      <c r="P1">
        <v>10</v>
      </c>
      <c r="Q1" t="s">
        <v>42</v>
      </c>
      <c r="R1">
        <v>4</v>
      </c>
      <c r="S1" t="s">
        <v>42</v>
      </c>
      <c r="T1">
        <v>10</v>
      </c>
      <c r="U1" t="s">
        <v>67</v>
      </c>
      <c r="V1">
        <v>24</v>
      </c>
      <c r="W1" t="s">
        <v>47</v>
      </c>
      <c r="X1">
        <v>6</v>
      </c>
      <c r="Y1" t="s">
        <v>1</v>
      </c>
      <c r="Z1">
        <v>1</v>
      </c>
    </row>
    <row r="2" spans="4:26" x14ac:dyDescent="0.3">
      <c r="D2" t="s">
        <v>81</v>
      </c>
      <c r="O2" t="s">
        <v>64</v>
      </c>
      <c r="P2">
        <v>4</v>
      </c>
      <c r="Q2" t="s">
        <v>64</v>
      </c>
      <c r="R2">
        <v>8</v>
      </c>
      <c r="S2" t="s">
        <v>67</v>
      </c>
      <c r="T2">
        <v>12</v>
      </c>
      <c r="U2" t="s">
        <v>47</v>
      </c>
      <c r="V2">
        <v>2</v>
      </c>
      <c r="W2" t="s">
        <v>32</v>
      </c>
      <c r="X2">
        <v>8</v>
      </c>
    </row>
    <row r="3" spans="4:26" x14ac:dyDescent="0.3">
      <c r="D3" t="s">
        <v>81</v>
      </c>
    </row>
    <row r="4" spans="4:26" x14ac:dyDescent="0.3">
      <c r="D4" t="s">
        <v>81</v>
      </c>
    </row>
    <row r="7" spans="4:26" x14ac:dyDescent="0.3">
      <c r="I7" t="s">
        <v>34</v>
      </c>
      <c r="J7">
        <v>4</v>
      </c>
      <c r="K7" t="s">
        <v>34</v>
      </c>
      <c r="L7">
        <v>10</v>
      </c>
      <c r="M7" t="s">
        <v>38</v>
      </c>
      <c r="N7">
        <v>4</v>
      </c>
      <c r="O7" t="s">
        <v>38</v>
      </c>
      <c r="P7">
        <v>10</v>
      </c>
      <c r="Q7" t="s">
        <v>42</v>
      </c>
      <c r="R7">
        <v>4</v>
      </c>
      <c r="S7" t="s">
        <v>42</v>
      </c>
      <c r="T7">
        <v>10</v>
      </c>
      <c r="U7" t="s">
        <v>72</v>
      </c>
      <c r="V7">
        <v>8</v>
      </c>
      <c r="W7" t="s">
        <v>76</v>
      </c>
      <c r="X7">
        <v>15</v>
      </c>
      <c r="Y7" t="s">
        <v>1</v>
      </c>
      <c r="Z7">
        <v>1</v>
      </c>
    </row>
    <row r="8" spans="4:26" x14ac:dyDescent="0.3">
      <c r="O8" t="s">
        <v>56</v>
      </c>
      <c r="P8">
        <v>4</v>
      </c>
      <c r="Q8" t="s">
        <v>56</v>
      </c>
      <c r="R8">
        <v>8</v>
      </c>
      <c r="S8" t="s">
        <v>72</v>
      </c>
      <c r="T8">
        <v>4</v>
      </c>
      <c r="U8" t="s">
        <v>76</v>
      </c>
      <c r="V8">
        <v>5</v>
      </c>
      <c r="W8" t="s">
        <v>79</v>
      </c>
      <c r="X8">
        <v>60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按鈕1_Click">
                <anchor moveWithCells="1" sizeWithCells="1">
                  <from>
                    <xdr:col>0</xdr:col>
                    <xdr:colOff>228600</xdr:colOff>
                    <xdr:row>1</xdr:row>
                    <xdr:rowOff>0</xdr:rowOff>
                  </from>
                  <to>
                    <xdr:col>1</xdr:col>
                    <xdr:colOff>274320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D8EDF-2D42-4503-8673-10CA5066749E}">
  <sheetPr codeName="工作表3"/>
  <dimension ref="A1:U21"/>
  <sheetViews>
    <sheetView workbookViewId="0">
      <selection activeCell="D1" sqref="D1"/>
    </sheetView>
  </sheetViews>
  <sheetFormatPr defaultRowHeight="16.2" x14ac:dyDescent="0.3"/>
  <cols>
    <col min="1" max="1" width="30" bestFit="1" customWidth="1"/>
    <col min="4" max="4" width="10.44140625" bestFit="1" customWidth="1"/>
    <col min="5" max="5" width="2.5546875" bestFit="1" customWidth="1"/>
    <col min="6" max="6" width="10.44140625" bestFit="1" customWidth="1"/>
    <col min="7" max="7" width="3.5546875" bestFit="1" customWidth="1"/>
    <col min="8" max="8" width="10.44140625" bestFit="1" customWidth="1"/>
    <col min="9" max="9" width="2.5546875" bestFit="1" customWidth="1"/>
    <col min="10" max="10" width="12.88671875" bestFit="1" customWidth="1"/>
    <col min="11" max="11" width="3.5546875" bestFit="1" customWidth="1"/>
    <col min="12" max="12" width="12.88671875" bestFit="1" customWidth="1"/>
    <col min="13" max="13" width="3.5546875" bestFit="1" customWidth="1"/>
    <col min="14" max="14" width="12.88671875" bestFit="1" customWidth="1"/>
    <col min="15" max="15" width="3.5546875" bestFit="1" customWidth="1"/>
    <col min="16" max="16" width="12.88671875" bestFit="1" customWidth="1"/>
    <col min="17" max="17" width="3.5546875" bestFit="1" customWidth="1"/>
    <col min="18" max="18" width="12.88671875" bestFit="1" customWidth="1"/>
    <col min="19" max="19" width="3.5546875" bestFit="1" customWidth="1"/>
    <col min="20" max="20" width="10.44140625" bestFit="1" customWidth="1"/>
    <col min="21" max="21" width="4.5546875" bestFit="1" customWidth="1"/>
  </cols>
  <sheetData>
    <row r="1" spans="1:21" x14ac:dyDescent="0.3">
      <c r="A1" t="str">
        <f>工作表2!A6</f>
        <v>水引根付</v>
      </c>
      <c r="B1">
        <f>工作表2!A8</f>
        <v>1</v>
      </c>
      <c r="D1" t="str">
        <f>工作表2!A92</f>
        <v>&lt;a href="item_drop.html#6101</v>
      </c>
      <c r="E1" t="str">
        <f>工作表2!A94</f>
        <v>剣の魔石</v>
      </c>
      <c r="F1">
        <f>工作表2!A105</f>
        <v>0</v>
      </c>
      <c r="G1" t="str">
        <f>工作表2!A107</f>
        <v>QP</v>
      </c>
      <c r="H1">
        <f>工作表2!A116</f>
        <v>0</v>
      </c>
      <c r="I1" t="str">
        <f>工作表2!A118</f>
        <v xml:space="preserve">&lt;div class="itemMT" </v>
      </c>
      <c r="J1" t="str">
        <f>工作表2!A129</f>
        <v>Lv.6→Lv.7&lt;/td&gt;&lt;td bgcolor=" #ECF2F3</v>
      </c>
      <c r="K1" t="str">
        <f>工作表2!A131</f>
        <v xml:space="preserve">&lt;div class="itemMT" </v>
      </c>
      <c r="L1" t="str">
        <f>工作表2!A147</f>
        <v>3m</v>
      </c>
      <c r="M1" t="str">
        <f>工作表2!A151</f>
        <v>background-image: url('https://fgo.kazemai.io/common/images/icon/items/6503.png')</v>
      </c>
      <c r="N1" t="str">
        <f>工作表2!A167</f>
        <v>Lv.8→Lv.9&lt;/td&gt;&lt;td bgcolor=" #ECF2F3</v>
      </c>
      <c r="O1" t="str">
        <f>工作表2!A169</f>
        <v xml:space="preserve">&lt;div class="itemMT" </v>
      </c>
      <c r="P1" t="str">
        <f>工作表2!A185</f>
        <v>6m</v>
      </c>
      <c r="Q1" t="str">
        <f>工作表2!A187</f>
        <v xml:space="preserve">&lt;div class="itemMT" </v>
      </c>
      <c r="R1" t="str">
        <f>工作表2!A205</f>
        <v xml:space="preserve">&lt;/td&gt;&lt;/tr&gt;&lt;tr&gt;&lt;td&gt;解放&lt;/td&gt;&lt;td&gt;&lt;div class="itemMT" </v>
      </c>
      <c r="S1">
        <f>工作表2!A207</f>
        <v>0</v>
      </c>
      <c r="T1" t="str">
        <f>工作表2!A223</f>
        <v>&lt;/td&gt;&lt;/tr&gt;&lt;tr&gt;&lt;td bgcolor=" #ECF2F3</v>
      </c>
      <c r="U1" t="str">
        <f>工作表2!A225</f>
        <v>&lt;a href="item_drop.html#6001</v>
      </c>
    </row>
    <row r="2" spans="1:21" x14ac:dyDescent="0.3">
      <c r="A2" t="str">
        <f>工作表2!A19</f>
        <v>水引根付</v>
      </c>
      <c r="B2">
        <f>工作表2!A21</f>
        <v>1</v>
      </c>
      <c r="J2">
        <f>工作表2!A136</f>
        <v>0</v>
      </c>
      <c r="K2" t="str">
        <f>工作表2!A138</f>
        <v xml:space="preserve">&lt;div class="itemMT" </v>
      </c>
      <c r="L2">
        <f>工作表2!A154</f>
        <v>0</v>
      </c>
      <c r="M2" t="str">
        <f>工作表2!A158</f>
        <v>background-image: url('https://fgo.kazemai.io/common/images/icon/items/6531.png')</v>
      </c>
      <c r="N2">
        <f>工作表2!A174</f>
        <v>0</v>
      </c>
      <c r="O2" t="str">
        <f>工作表2!A176</f>
        <v xml:space="preserve">&lt;div class="itemMT" </v>
      </c>
      <c r="P2">
        <f>工作表2!A192</f>
        <v>0</v>
      </c>
      <c r="Q2" t="str">
        <f>工作表2!A194</f>
        <v>QP</v>
      </c>
      <c r="R2" t="str">
        <f>工作表2!A212</f>
        <v>&lt;/td&gt;&lt;/tr&gt;&lt;tr&gt;&lt;td&gt;Lv.1→Lv.2&lt;/td&gt;&lt;td&gt;&lt;a href="item_drop.html#6001</v>
      </c>
      <c r="S2" t="str">
        <f>工作表2!A214</f>
        <v>剣の輝石</v>
      </c>
    </row>
    <row r="3" spans="1:21" x14ac:dyDescent="0.3">
      <c r="A3" t="str">
        <f>工作表2!A26</f>
        <v>background-image: url('https://fgo.kazemai.io/common/images/icon/items/5.png')</v>
      </c>
      <c r="B3" t="str">
        <f>工作表2!A28</f>
        <v>&lt;/td&gt;&lt;/tr&gt;&lt;tr&gt;&lt;td width="80" bgcolor=" #ECF2F3</v>
      </c>
    </row>
    <row r="4" spans="1:21" x14ac:dyDescent="0.3">
      <c r="A4" t="str">
        <f>工作表2!A39</f>
        <v>background-image: url('https://fgo.kazemai.io/common/images/icon/items/5.png')</v>
      </c>
      <c r="B4" t="str">
        <f>工作表2!A41</f>
        <v>&lt;/td&gt;&lt;/tr&gt;&lt;tr&gt;&lt;td width="80</v>
      </c>
    </row>
    <row r="5" spans="1:21" x14ac:dyDescent="0.3">
      <c r="A5" t="str">
        <f>工作表2!A46</f>
        <v>background-image: url('https://fgo.kazemai.io/common/images/icon/items/94091504.png')</v>
      </c>
      <c r="B5" t="str">
        <f>工作表2!A48</f>
        <v>&lt;/a&gt;&lt;div style="width:10px;display:inline-block;</v>
      </c>
    </row>
    <row r="6" spans="1:21" x14ac:dyDescent="0.3">
      <c r="A6" t="str">
        <f>工作表2!A53</f>
        <v>2m</v>
      </c>
      <c r="B6" t="str">
        <f>工作表2!A55</f>
        <v>&lt;b&gt;保有技能強化&lt;/b&gt;&lt;/th&gt;&lt;td&gt;Lv.1→Lv.2&lt;/td&gt;&lt;td&gt;&lt;a href="item_drop.html#6001</v>
      </c>
    </row>
    <row r="7" spans="1:21" x14ac:dyDescent="0.3">
      <c r="A7" t="str">
        <f>工作表2!A66</f>
        <v>&lt;/td&gt;&lt;/tr&gt;&lt;tr&gt;&lt;td bgcolor=" #ECF2F3</v>
      </c>
      <c r="B7" t="str">
        <f>工作表2!A68</f>
        <v>&lt;a href="item_drop.html#6001</v>
      </c>
    </row>
    <row r="8" spans="1:21" x14ac:dyDescent="0.3">
      <c r="A8" t="str">
        <f>工作表2!A73</f>
        <v>&lt;/a&gt;&lt;div style="width:10px;display:inline-block;</v>
      </c>
      <c r="B8" t="str">
        <f>工作表2!A75</f>
        <v xml:space="preserve">&lt;div class="itemMT" </v>
      </c>
      <c r="D8" t="str">
        <f>工作表2!A247</f>
        <v>&lt;/td&gt;&lt;/tr&gt;&lt;tr&gt;&lt;td bgcolor=" #ECF2F3</v>
      </c>
      <c r="E8" t="str">
        <f>工作表2!A249</f>
        <v>&lt;a href="item_drop.html#6101</v>
      </c>
      <c r="F8" t="str">
        <f>工作表2!A258</f>
        <v>枯淡勾玉</v>
      </c>
      <c r="G8">
        <f>工作表2!A260</f>
        <v>4</v>
      </c>
      <c r="H8">
        <f>工作表2!A271</f>
        <v>4</v>
      </c>
      <c r="I8">
        <f>工作表2!A273</f>
        <v>0</v>
      </c>
      <c r="J8" t="str">
        <f>工作表2!A282</f>
        <v>QP</v>
      </c>
      <c r="K8" t="str">
        <f>工作表2!A284</f>
        <v>2m</v>
      </c>
      <c r="L8" t="str">
        <f>工作表2!A302</f>
        <v>QP</v>
      </c>
      <c r="M8" t="str">
        <f>工作表2!A304</f>
        <v>3m</v>
      </c>
      <c r="N8" t="str">
        <f>工作表2!A320</f>
        <v>QP</v>
      </c>
      <c r="O8" t="str">
        <f>工作表2!A322</f>
        <v>5m</v>
      </c>
      <c r="P8" t="str">
        <f>工作表2!A340</f>
        <v>QP</v>
      </c>
      <c r="Q8" t="str">
        <f>工作表2!A342</f>
        <v>6m</v>
      </c>
      <c r="R8">
        <f>工作表2!A358</f>
        <v>0</v>
      </c>
      <c r="S8">
        <f>工作表2!A360</f>
        <v>0</v>
      </c>
      <c r="T8">
        <f>工作表2!A378</f>
        <v>0</v>
      </c>
      <c r="U8">
        <f>工作表2!A380</f>
        <v>0</v>
      </c>
    </row>
    <row r="9" spans="1:21" x14ac:dyDescent="0.3">
      <c r="A9" t="str">
        <f>工作表2!A80</f>
        <v xml:space="preserve">&lt;div class="itemMT" </v>
      </c>
      <c r="B9" t="str">
        <f>工作表2!A82</f>
        <v>background-image: url('https://fgo.kazemai.io/common/images/icon/items/6101.png')</v>
      </c>
      <c r="J9" t="str">
        <f>工作表2!A289</f>
        <v>剣の秘石</v>
      </c>
      <c r="K9">
        <f>工作表2!A291</f>
        <v>10</v>
      </c>
      <c r="L9">
        <f>工作表2!A309</f>
        <v>8</v>
      </c>
      <c r="M9">
        <f>工作表2!A311</f>
        <v>0</v>
      </c>
      <c r="N9" t="str">
        <f>工作表2!A327</f>
        <v>神脈霊子</v>
      </c>
      <c r="O9">
        <f>工作表2!A329</f>
        <v>15</v>
      </c>
      <c r="P9">
        <f>工作表2!A347</f>
        <v>1</v>
      </c>
      <c r="Q9">
        <f>工作表2!A349</f>
        <v>0</v>
      </c>
      <c r="R9">
        <f>工作表2!A365</f>
        <v>0</v>
      </c>
      <c r="S9">
        <f>工作表2!A367</f>
        <v>0</v>
      </c>
    </row>
    <row r="10" spans="1:21" x14ac:dyDescent="0.3">
      <c r="D10" t="str">
        <f>工作表2!A249</f>
        <v>&lt;a href="item_drop.html#6101</v>
      </c>
      <c r="E10" t="str">
        <f>工作表2!A251</f>
        <v>剣の魔石</v>
      </c>
      <c r="F10">
        <f>工作表2!A260</f>
        <v>4</v>
      </c>
      <c r="G10">
        <f>工作表2!A262</f>
        <v>0</v>
      </c>
      <c r="H10">
        <f>工作表2!A273</f>
        <v>0</v>
      </c>
      <c r="I10" t="str">
        <f>工作表2!A275</f>
        <v xml:space="preserve">&lt;div class="itemMT" </v>
      </c>
      <c r="J10" t="str">
        <f>工作表2!A284</f>
        <v>2m</v>
      </c>
      <c r="K10" t="str">
        <f>工作表2!A286</f>
        <v>Lv.6→Lv.7&lt;/td&gt;&lt;td bgcolor=" #ECF2F3</v>
      </c>
      <c r="L10" t="str">
        <f>工作表2!A304</f>
        <v>3m</v>
      </c>
      <c r="M10" t="str">
        <f>工作表2!A306</f>
        <v xml:space="preserve">&lt;div class="itemMT" </v>
      </c>
      <c r="N10" t="str">
        <f>工作表2!A322</f>
        <v>5m</v>
      </c>
      <c r="O10" t="str">
        <f>工作表2!A324</f>
        <v>Lv.8→Lv.9&lt;/td&gt;&lt;td bgcolor=" #ECF2F3</v>
      </c>
      <c r="P10" t="str">
        <f>工作表2!A342</f>
        <v>6m</v>
      </c>
      <c r="Q10" t="str">
        <f>工作表2!A344</f>
        <v xml:space="preserve">&lt;div class="itemMT" </v>
      </c>
      <c r="R10">
        <f>工作表2!A360</f>
        <v>0</v>
      </c>
      <c r="S10">
        <f>工作表2!A362</f>
        <v>0</v>
      </c>
      <c r="T10">
        <f>工作表2!A380</f>
        <v>0</v>
      </c>
      <c r="U10">
        <f>工作表2!A382</f>
        <v>0</v>
      </c>
    </row>
    <row r="11" spans="1:21" x14ac:dyDescent="0.3">
      <c r="J11">
        <f>工作表2!A291</f>
        <v>10</v>
      </c>
      <c r="K11">
        <f>工作表2!A293</f>
        <v>0</v>
      </c>
      <c r="L11">
        <f>工作表2!A311</f>
        <v>0</v>
      </c>
      <c r="M11" t="str">
        <f>工作表2!A313</f>
        <v xml:space="preserve">&lt;div class="itemMT" </v>
      </c>
      <c r="N11">
        <f>工作表2!A329</f>
        <v>15</v>
      </c>
      <c r="O11">
        <f>工作表2!A331</f>
        <v>0</v>
      </c>
      <c r="P11">
        <f>工作表2!A349</f>
        <v>0</v>
      </c>
      <c r="Q11" t="str">
        <f>工作表2!A351</f>
        <v>QP</v>
      </c>
      <c r="R11">
        <f>工作表2!A367</f>
        <v>0</v>
      </c>
      <c r="S11">
        <f>工作表2!A369</f>
        <v>0</v>
      </c>
    </row>
    <row r="14" spans="1:21" x14ac:dyDescent="0.3">
      <c r="D14" t="str">
        <f>D8</f>
        <v>&lt;/td&gt;&lt;/tr&gt;&lt;tr&gt;&lt;td bgcolor=" #ECF2F3</v>
      </c>
      <c r="E14" t="str">
        <f>E8</f>
        <v>&lt;a href="item_drop.html#6101</v>
      </c>
      <c r="F14">
        <f>F10</f>
        <v>4</v>
      </c>
      <c r="G14">
        <f>G10</f>
        <v>0</v>
      </c>
      <c r="H14">
        <f>H8</f>
        <v>4</v>
      </c>
      <c r="I14">
        <f>I8</f>
        <v>0</v>
      </c>
      <c r="J14" t="str">
        <f>J10</f>
        <v>2m</v>
      </c>
      <c r="K14" t="str">
        <f>K10</f>
        <v>Lv.6→Lv.7&lt;/td&gt;&lt;td bgcolor=" #ECF2F3</v>
      </c>
      <c r="L14" t="str">
        <f>L8</f>
        <v>QP</v>
      </c>
      <c r="M14" t="str">
        <f>M8</f>
        <v>3m</v>
      </c>
      <c r="N14" t="str">
        <f>N10</f>
        <v>5m</v>
      </c>
      <c r="O14" t="str">
        <f>O10</f>
        <v>Lv.8→Lv.9&lt;/td&gt;&lt;td bgcolor=" #ECF2F3</v>
      </c>
      <c r="P14" t="str">
        <f>P8</f>
        <v>QP</v>
      </c>
      <c r="Q14" t="str">
        <f>Q8</f>
        <v>6m</v>
      </c>
      <c r="R14">
        <f>R10</f>
        <v>0</v>
      </c>
      <c r="S14">
        <f>S10</f>
        <v>0</v>
      </c>
      <c r="T14">
        <f>T8</f>
        <v>0</v>
      </c>
      <c r="U14">
        <f>U8</f>
        <v>0</v>
      </c>
    </row>
    <row r="15" spans="1:21" x14ac:dyDescent="0.3">
      <c r="J15">
        <f>J11</f>
        <v>10</v>
      </c>
      <c r="K15">
        <f>K11</f>
        <v>0</v>
      </c>
      <c r="L15">
        <f>L9</f>
        <v>8</v>
      </c>
      <c r="M15">
        <f>M9</f>
        <v>0</v>
      </c>
      <c r="N15">
        <f>N11</f>
        <v>15</v>
      </c>
      <c r="O15">
        <f>O11</f>
        <v>0</v>
      </c>
      <c r="P15">
        <f>P9</f>
        <v>1</v>
      </c>
      <c r="Q15">
        <f>Q9</f>
        <v>0</v>
      </c>
      <c r="R15">
        <f>R11</f>
        <v>0</v>
      </c>
      <c r="S15">
        <f>S11</f>
        <v>0</v>
      </c>
    </row>
    <row r="17" spans="4:21" x14ac:dyDescent="0.3">
      <c r="D17" t="str">
        <f>工作表2!A249</f>
        <v>&lt;a href="item_drop.html#6101</v>
      </c>
      <c r="E17" t="str">
        <f>工作表2!A251</f>
        <v>剣の魔石</v>
      </c>
      <c r="F17">
        <f>工作表2!A262</f>
        <v>0</v>
      </c>
      <c r="G17" t="str">
        <f>工作表2!A264</f>
        <v>QP</v>
      </c>
      <c r="H17">
        <f>工作表2!A273</f>
        <v>0</v>
      </c>
      <c r="I17" t="str">
        <f>工作表2!A275</f>
        <v xml:space="preserve">&lt;div class="itemMT" </v>
      </c>
      <c r="J17" t="str">
        <f>工作表2!A286</f>
        <v>Lv.6→Lv.7&lt;/td&gt;&lt;td bgcolor=" #ECF2F3</v>
      </c>
      <c r="K17" t="str">
        <f>工作表2!A288</f>
        <v xml:space="preserve">&lt;div class="itemMT" </v>
      </c>
      <c r="L17" t="str">
        <f>工作表2!A304</f>
        <v>3m</v>
      </c>
      <c r="M17" t="str">
        <f>工作表2!A306</f>
        <v xml:space="preserve">&lt;div class="itemMT" </v>
      </c>
      <c r="N17" t="str">
        <f>工作表2!A324</f>
        <v>Lv.8→Lv.9&lt;/td&gt;&lt;td bgcolor=" #ECF2F3</v>
      </c>
      <c r="O17" t="str">
        <f>工作表2!A326</f>
        <v xml:space="preserve">&lt;div class="itemMT" </v>
      </c>
      <c r="P17" t="str">
        <f>工作表2!A342</f>
        <v>6m</v>
      </c>
      <c r="Q17" t="str">
        <f>工作表2!A344</f>
        <v xml:space="preserve">&lt;div class="itemMT" </v>
      </c>
      <c r="R17">
        <f>工作表2!A362</f>
        <v>0</v>
      </c>
      <c r="S17">
        <f>工作表2!A364</f>
        <v>0</v>
      </c>
      <c r="T17">
        <f>工作表2!A380</f>
        <v>0</v>
      </c>
      <c r="U17">
        <f>工作表2!A382</f>
        <v>0</v>
      </c>
    </row>
    <row r="18" spans="4:21" x14ac:dyDescent="0.3">
      <c r="J18">
        <f>工作表2!A293</f>
        <v>0</v>
      </c>
      <c r="K18" t="str">
        <f>工作表2!A295</f>
        <v xml:space="preserve">&lt;div class="itemMT" </v>
      </c>
      <c r="L18">
        <f>工作表2!A311</f>
        <v>0</v>
      </c>
      <c r="M18" t="str">
        <f>工作表2!A313</f>
        <v xml:space="preserve">&lt;div class="itemMT" </v>
      </c>
      <c r="N18">
        <f>工作表2!A331</f>
        <v>0</v>
      </c>
      <c r="O18" t="str">
        <f>工作表2!A333</f>
        <v xml:space="preserve">&lt;div class="itemMT" </v>
      </c>
      <c r="P18">
        <f>工作表2!A349</f>
        <v>0</v>
      </c>
      <c r="Q18" t="str">
        <f>工作表2!A351</f>
        <v>QP</v>
      </c>
      <c r="R18">
        <f>工作表2!A369</f>
        <v>0</v>
      </c>
      <c r="S18">
        <f>工作表2!A371</f>
        <v>0</v>
      </c>
    </row>
    <row r="20" spans="4:21" x14ac:dyDescent="0.3">
      <c r="D20" t="str">
        <f>工作表2!A251</f>
        <v>剣の魔石</v>
      </c>
      <c r="E20">
        <f>工作表2!A253</f>
        <v>10</v>
      </c>
      <c r="F20">
        <f>工作表2!A262</f>
        <v>0</v>
      </c>
      <c r="G20" t="str">
        <f>工作表2!A264</f>
        <v>QP</v>
      </c>
      <c r="H20" t="str">
        <f>工作表2!A275</f>
        <v xml:space="preserve">&lt;div class="itemMT" </v>
      </c>
      <c r="I20" t="str">
        <f>工作表2!A277</f>
        <v>background-image: url('https://fgo.kazemai.io/common/images/icon/items/6532.png')</v>
      </c>
      <c r="J20" t="str">
        <f>工作表2!A286</f>
        <v>Lv.6→Lv.7&lt;/td&gt;&lt;td bgcolor=" #ECF2F3</v>
      </c>
      <c r="K20" t="str">
        <f>工作表2!A288</f>
        <v xml:space="preserve">&lt;div class="itemMT" </v>
      </c>
      <c r="L20" t="str">
        <f>工作表2!A306</f>
        <v xml:space="preserve">&lt;div class="itemMT" </v>
      </c>
      <c r="M20" t="str">
        <f>工作表2!A308</f>
        <v>background-image: url('https://fgo.kazemai.io/common/images/icon/items/6538.png')</v>
      </c>
      <c r="N20" t="str">
        <f>工作表2!A324</f>
        <v>Lv.8→Lv.9&lt;/td&gt;&lt;td bgcolor=" #ECF2F3</v>
      </c>
      <c r="O20" t="str">
        <f>工作表2!A326</f>
        <v xml:space="preserve">&lt;div class="itemMT" </v>
      </c>
      <c r="P20" t="str">
        <f>工作表2!A344</f>
        <v xml:space="preserve">&lt;div class="itemMT" </v>
      </c>
      <c r="Q20" t="str">
        <f>工作表2!A346</f>
        <v>background-image: url('https://fgo.kazemai.io/common/images/icon/items/6999.png')</v>
      </c>
      <c r="R20">
        <f>工作表2!A362</f>
        <v>0</v>
      </c>
      <c r="S20">
        <f>工作表2!A364</f>
        <v>0</v>
      </c>
      <c r="T20">
        <f>工作表2!A382</f>
        <v>0</v>
      </c>
      <c r="U20">
        <f>工作表2!A384</f>
        <v>0</v>
      </c>
    </row>
    <row r="21" spans="4:21" x14ac:dyDescent="0.3">
      <c r="J21">
        <f>工作表2!A293</f>
        <v>0</v>
      </c>
      <c r="K21" t="str">
        <f>工作表2!A295</f>
        <v xml:space="preserve">&lt;div class="itemMT" </v>
      </c>
      <c r="L21" t="str">
        <f>工作表2!A313</f>
        <v xml:space="preserve">&lt;div class="itemMT" </v>
      </c>
      <c r="M21" t="str">
        <f>工作表2!A315</f>
        <v>background-image: url('https://fgo.kazemai.io/common/images/icon/items/6545.png')</v>
      </c>
      <c r="N21">
        <f>工作表2!A331</f>
        <v>0</v>
      </c>
      <c r="O21" t="str">
        <f>工作表2!A333</f>
        <v xml:space="preserve">&lt;div class="itemMT" </v>
      </c>
      <c r="P21" t="str">
        <f>工作表2!A351</f>
        <v>QP</v>
      </c>
      <c r="Q21" t="str">
        <f>工作表2!A353</f>
        <v>10m</v>
      </c>
      <c r="R21">
        <f>工作表2!A369</f>
        <v>0</v>
      </c>
      <c r="S21">
        <f>工作表2!A371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03F8F-6DD8-4BEA-9F26-7BB0014C9499}">
  <sheetPr codeName="工作表4"/>
  <dimension ref="A1:U11"/>
  <sheetViews>
    <sheetView workbookViewId="0">
      <selection activeCell="N5" sqref="N5"/>
    </sheetView>
  </sheetViews>
  <sheetFormatPr defaultRowHeight="16.2" x14ac:dyDescent="0.3"/>
  <cols>
    <col min="1" max="1" width="30" bestFit="1" customWidth="1"/>
    <col min="4" max="4" width="10.44140625" bestFit="1" customWidth="1"/>
    <col min="5" max="5" width="2.5546875" bestFit="1" customWidth="1"/>
    <col min="6" max="6" width="10.44140625" bestFit="1" customWidth="1"/>
    <col min="7" max="7" width="3.5546875" bestFit="1" customWidth="1"/>
    <col min="8" max="8" width="10.44140625" bestFit="1" customWidth="1"/>
    <col min="9" max="9" width="2.5546875" bestFit="1" customWidth="1"/>
    <col min="10" max="10" width="12.88671875" bestFit="1" customWidth="1"/>
    <col min="11" max="11" width="3.5546875" bestFit="1" customWidth="1"/>
    <col min="12" max="12" width="12.88671875" bestFit="1" customWidth="1"/>
    <col min="13" max="13" width="3.5546875" bestFit="1" customWidth="1"/>
    <col min="14" max="14" width="17.77734375" bestFit="1" customWidth="1"/>
    <col min="15" max="15" width="3.5546875" bestFit="1" customWidth="1"/>
    <col min="16" max="16" width="17.77734375" bestFit="1" customWidth="1"/>
    <col min="17" max="17" width="3.5546875" bestFit="1" customWidth="1"/>
    <col min="18" max="18" width="15.33203125" bestFit="1" customWidth="1"/>
    <col min="19" max="19" width="3.5546875" bestFit="1" customWidth="1"/>
    <col min="20" max="20" width="10.44140625" bestFit="1" customWidth="1"/>
    <col min="21" max="21" width="2.5546875" bestFit="1" customWidth="1"/>
  </cols>
  <sheetData>
    <row r="1" spans="1:21" x14ac:dyDescent="0.3">
      <c r="A1" t="str">
        <f>工作表2!A6</f>
        <v>水引根付</v>
      </c>
      <c r="B1">
        <f>工作表2!A8</f>
        <v>1</v>
      </c>
      <c r="D1" t="str">
        <f>工作表2!A94</f>
        <v>剣の魔石</v>
      </c>
      <c r="E1">
        <f>工作表2!A96</f>
        <v>10</v>
      </c>
      <c r="F1">
        <f>工作表2!A105</f>
        <v>0</v>
      </c>
      <c r="G1" t="str">
        <f>工作表2!A107</f>
        <v>QP</v>
      </c>
      <c r="H1" t="str">
        <f>工作表2!A118</f>
        <v xml:space="preserve">&lt;div class="itemMT" </v>
      </c>
      <c r="I1" t="str">
        <f>工作表2!A120</f>
        <v>background-image: url('https://fgo.kazemai.io/common/images/icon/items/6515.png')</v>
      </c>
      <c r="J1" t="str">
        <f>工作表2!A129</f>
        <v>Lv.6→Lv.7&lt;/td&gt;&lt;td bgcolor=" #ECF2F3</v>
      </c>
      <c r="K1" t="str">
        <f>工作表2!A131</f>
        <v xml:space="preserve">&lt;div class="itemMT" </v>
      </c>
      <c r="L1" t="str">
        <f>工作表2!A149</f>
        <v xml:space="preserve">&lt;div class="itemMT" </v>
      </c>
      <c r="M1" t="str">
        <f>工作表2!A151</f>
        <v>background-image: url('https://fgo.kazemai.io/common/images/icon/items/6503.png')</v>
      </c>
      <c r="N1" t="str">
        <f>工作表2!A167</f>
        <v>Lv.8→Lv.9&lt;/td&gt;&lt;td bgcolor=" #ECF2F3</v>
      </c>
      <c r="O1" t="str">
        <f>工作表2!A169</f>
        <v xml:space="preserve">&lt;div class="itemMT" </v>
      </c>
      <c r="P1" t="str">
        <f>工作表2!A187</f>
        <v xml:space="preserve">&lt;div class="itemMT" </v>
      </c>
      <c r="Q1" t="str">
        <f>工作表2!A189</f>
        <v>background-image: url('https://fgo.kazemai.io/common/images/icon/items/6999.png')</v>
      </c>
      <c r="R1" t="str">
        <f>工作表2!A205</f>
        <v xml:space="preserve">&lt;/td&gt;&lt;/tr&gt;&lt;tr&gt;&lt;td&gt;解放&lt;/td&gt;&lt;td&gt;&lt;div class="itemMT" </v>
      </c>
      <c r="S1">
        <f>工作表2!A207</f>
        <v>0</v>
      </c>
      <c r="T1" t="str">
        <f>工作表2!A225</f>
        <v>&lt;a href="item_drop.html#6001</v>
      </c>
      <c r="U1" t="str">
        <f>工作表2!A227</f>
        <v>剣の輝石</v>
      </c>
    </row>
    <row r="2" spans="1:21" x14ac:dyDescent="0.3">
      <c r="A2" t="str">
        <f>工作表2!A19</f>
        <v>水引根付</v>
      </c>
      <c r="B2">
        <f>工作表2!A21</f>
        <v>1</v>
      </c>
      <c r="J2">
        <f>工作表2!A136</f>
        <v>0</v>
      </c>
      <c r="K2" t="str">
        <f>工作表2!A138</f>
        <v xml:space="preserve">&lt;div class="itemMT" </v>
      </c>
      <c r="L2" t="str">
        <f>工作表2!A156</f>
        <v xml:space="preserve">&lt;div class="itemMT" </v>
      </c>
      <c r="M2" t="str">
        <f>工作表2!A158</f>
        <v>background-image: url('https://fgo.kazemai.io/common/images/icon/items/6531.png')</v>
      </c>
      <c r="N2">
        <f>工作表2!A174</f>
        <v>0</v>
      </c>
      <c r="O2" t="str">
        <f>工作表2!A176</f>
        <v xml:space="preserve">&lt;div class="itemMT" </v>
      </c>
      <c r="P2" t="str">
        <f>工作表2!A194</f>
        <v>QP</v>
      </c>
      <c r="Q2" t="str">
        <f>工作表2!A196</f>
        <v>10m</v>
      </c>
      <c r="R2" t="str">
        <f>工作表2!A212</f>
        <v>&lt;/td&gt;&lt;/tr&gt;&lt;tr&gt;&lt;td&gt;Lv.1→Lv.2&lt;/td&gt;&lt;td&gt;&lt;a href="item_drop.html#6001</v>
      </c>
      <c r="S2" t="str">
        <f>工作表2!A214</f>
        <v>剣の輝石</v>
      </c>
    </row>
    <row r="3" spans="1:21" x14ac:dyDescent="0.3">
      <c r="A3" t="str">
        <f>工作表2!A26</f>
        <v>background-image: url('https://fgo.kazemai.io/common/images/icon/items/5.png')</v>
      </c>
      <c r="B3" t="str">
        <f>工作表2!A28</f>
        <v>&lt;/td&gt;&lt;/tr&gt;&lt;tr&gt;&lt;td width="80" bgcolor=" #ECF2F3</v>
      </c>
    </row>
    <row r="4" spans="1:21" x14ac:dyDescent="0.3">
      <c r="A4" t="str">
        <f>工作表2!A39</f>
        <v>background-image: url('https://fgo.kazemai.io/common/images/icon/items/5.png')</v>
      </c>
      <c r="B4" t="str">
        <f>工作表2!A41</f>
        <v>&lt;/td&gt;&lt;/tr&gt;&lt;tr&gt;&lt;td width="80</v>
      </c>
    </row>
    <row r="5" spans="1:21" x14ac:dyDescent="0.3">
      <c r="A5" t="str">
        <f>工作表2!A46</f>
        <v>background-image: url('https://fgo.kazemai.io/common/images/icon/items/94091504.png')</v>
      </c>
      <c r="B5" t="str">
        <f>工作表2!A48</f>
        <v>&lt;/a&gt;&lt;div style="width:10px;display:inline-block;</v>
      </c>
    </row>
    <row r="6" spans="1:21" x14ac:dyDescent="0.3">
      <c r="A6" t="str">
        <f>工作表2!A53</f>
        <v>2m</v>
      </c>
      <c r="B6" t="str">
        <f>工作表2!A55</f>
        <v>&lt;b&gt;保有技能強化&lt;/b&gt;&lt;/th&gt;&lt;td&gt;Lv.1→Lv.2&lt;/td&gt;&lt;td&gt;&lt;a href="item_drop.html#6001</v>
      </c>
    </row>
    <row r="7" spans="1:21" x14ac:dyDescent="0.3">
      <c r="A7" t="str">
        <f>工作表2!A66</f>
        <v>&lt;/td&gt;&lt;/tr&gt;&lt;tr&gt;&lt;td bgcolor=" #ECF2F3</v>
      </c>
      <c r="B7" t="str">
        <f>工作表2!A68</f>
        <v>&lt;a href="item_drop.html#6001</v>
      </c>
    </row>
    <row r="8" spans="1:21" x14ac:dyDescent="0.3">
      <c r="A8" t="str">
        <f>工作表2!A73</f>
        <v>&lt;/a&gt;&lt;div style="width:10px;display:inline-block;</v>
      </c>
      <c r="B8" t="str">
        <f>工作表2!A75</f>
        <v xml:space="preserve">&lt;div class="itemMT" </v>
      </c>
    </row>
    <row r="9" spans="1:21" x14ac:dyDescent="0.3">
      <c r="A9" t="str">
        <f>工作表2!A80</f>
        <v xml:space="preserve">&lt;div class="itemMT" </v>
      </c>
      <c r="B9" t="str">
        <f>工作表2!A82</f>
        <v>background-image: url('https://fgo.kazemai.io/common/images/icon/items/6101.png')</v>
      </c>
    </row>
    <row r="10" spans="1:21" x14ac:dyDescent="0.3">
      <c r="D10">
        <f>工作表2!A253</f>
        <v>10</v>
      </c>
      <c r="E10">
        <f>工作表2!A255</f>
        <v>0</v>
      </c>
      <c r="F10" t="str">
        <f>工作表2!A264</f>
        <v>QP</v>
      </c>
      <c r="G10" t="str">
        <f>工作表2!A266</f>
        <v>800k</v>
      </c>
      <c r="H10" t="str">
        <f>工作表2!A277</f>
        <v>background-image: url('https://fgo.kazemai.io/common/images/icon/items/6532.png')</v>
      </c>
      <c r="I10" t="str">
        <f>工作表2!A279</f>
        <v>&lt;/a&gt;&lt;div style="width:10px;display:inline-block;</v>
      </c>
      <c r="J10" t="str">
        <f>工作表2!A288</f>
        <v xml:space="preserve">&lt;div class="itemMT" </v>
      </c>
      <c r="K10" t="str">
        <f>工作表2!A290</f>
        <v>background-image: url('https://fgo.kazemai.io/common/images/icon/items/6201.png')</v>
      </c>
      <c r="L10" t="str">
        <f>工作表2!A308</f>
        <v>background-image: url('https://fgo.kazemai.io/common/images/icon/items/6538.png')</v>
      </c>
      <c r="M10" t="str">
        <f>工作表2!A310</f>
        <v>&lt;/a&gt;&lt;div style="width:10px;display:inline-block;</v>
      </c>
      <c r="N10" t="str">
        <f>工作表2!A326</f>
        <v xml:space="preserve">&lt;div class="itemMT" </v>
      </c>
      <c r="O10" t="str">
        <f>工作表2!A328</f>
        <v>background-image: url('https://fgo.kazemai.io/common/images/icon/items/6545.png')</v>
      </c>
      <c r="P10" t="str">
        <f>工作表2!A346</f>
        <v>background-image: url('https://fgo.kazemai.io/common/images/icon/items/6999.png')</v>
      </c>
      <c r="Q10" t="str">
        <f>工作表2!A348</f>
        <v>&lt;/a&gt;&lt;div style="width:10px;display:inline-block;</v>
      </c>
      <c r="R10">
        <f>工作表2!A364</f>
        <v>0</v>
      </c>
      <c r="S10">
        <f>工作表2!A366</f>
        <v>0</v>
      </c>
      <c r="T10">
        <f>工作表2!A384</f>
        <v>0</v>
      </c>
      <c r="U10">
        <f>工作表2!A386</f>
        <v>0</v>
      </c>
    </row>
    <row r="11" spans="1:21" x14ac:dyDescent="0.3">
      <c r="J11" t="str">
        <f>工作表2!A295</f>
        <v xml:space="preserve">&lt;div class="itemMT" </v>
      </c>
      <c r="K11" t="str">
        <f>工作表2!A297</f>
        <v>background-image: url('https://fgo.kazemai.io/common/images/icon/items/6538.png')</v>
      </c>
      <c r="L11" t="str">
        <f>工作表2!A315</f>
        <v>background-image: url('https://fgo.kazemai.io/common/images/icon/items/6545.png')</v>
      </c>
      <c r="M11" t="str">
        <f>工作表2!A317</f>
        <v>&lt;/a&gt;&lt;div style="width:10px;display:inline-block;</v>
      </c>
      <c r="N11" t="str">
        <f>工作表2!A333</f>
        <v xml:space="preserve">&lt;div class="itemMT" </v>
      </c>
      <c r="O11" t="str">
        <f>工作表2!A335</f>
        <v>background-image: url('https://fgo.kazemai.io/common/images/icon/items/6552.png')</v>
      </c>
      <c r="P11" t="str">
        <f>工作表2!A353</f>
        <v>10m</v>
      </c>
      <c r="Q11">
        <f>工作表2!A355</f>
        <v>0</v>
      </c>
      <c r="R11">
        <f>工作表2!A371</f>
        <v>0</v>
      </c>
      <c r="S11">
        <f>工作表2!A373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E5290-B532-4922-9909-7F99A54BC1A9}">
  <sheetPr codeName="工作表5"/>
  <dimension ref="A1:U12"/>
  <sheetViews>
    <sheetView workbookViewId="0">
      <selection activeCell="E15" sqref="E15"/>
    </sheetView>
  </sheetViews>
  <sheetFormatPr defaultRowHeight="16.2" x14ac:dyDescent="0.3"/>
  <cols>
    <col min="1" max="1" width="30" bestFit="1" customWidth="1"/>
    <col min="4" max="4" width="10.44140625" bestFit="1" customWidth="1"/>
    <col min="5" max="5" width="3.5546875" bestFit="1" customWidth="1"/>
    <col min="6" max="6" width="10.44140625" bestFit="1" customWidth="1"/>
    <col min="7" max="7" width="3.5546875" bestFit="1" customWidth="1"/>
    <col min="8" max="8" width="10.44140625" bestFit="1" customWidth="1"/>
    <col min="9" max="9" width="3.5546875" bestFit="1" customWidth="1"/>
    <col min="10" max="10" width="12.88671875" bestFit="1" customWidth="1"/>
    <col min="11" max="11" width="3.5546875" bestFit="1" customWidth="1"/>
    <col min="12" max="12" width="12.88671875" bestFit="1" customWidth="1"/>
    <col min="13" max="13" width="3.5546875" bestFit="1" customWidth="1"/>
    <col min="14" max="14" width="12.88671875" bestFit="1" customWidth="1"/>
    <col min="15" max="15" width="3.5546875" bestFit="1" customWidth="1"/>
    <col min="16" max="16" width="12.88671875" bestFit="1" customWidth="1"/>
    <col min="17" max="17" width="3.5546875" bestFit="1" customWidth="1"/>
    <col min="18" max="18" width="12.88671875" bestFit="1" customWidth="1"/>
    <col min="19" max="19" width="3.5546875" bestFit="1" customWidth="1"/>
    <col min="20" max="20" width="10.44140625" bestFit="1" customWidth="1"/>
    <col min="21" max="21" width="2.5546875" bestFit="1" customWidth="1"/>
  </cols>
  <sheetData>
    <row r="1" spans="1:21" x14ac:dyDescent="0.3">
      <c r="A1" t="str">
        <f>工作表2!A6</f>
        <v>水引根付</v>
      </c>
      <c r="B1">
        <f>工作表2!A8</f>
        <v>1</v>
      </c>
      <c r="D1">
        <f>工作表2!A85</f>
        <v>0</v>
      </c>
      <c r="E1" t="str">
        <f>工作表2!A87</f>
        <v>QP</v>
      </c>
      <c r="F1">
        <f>工作表2!A98</f>
        <v>0</v>
      </c>
      <c r="G1" t="str">
        <f>工作表2!A100</f>
        <v xml:space="preserve">&lt;div class="itemMT" </v>
      </c>
      <c r="H1" t="str">
        <f>工作表2!A109</f>
        <v>800k</v>
      </c>
      <c r="I1" t="str">
        <f>工作表2!A111</f>
        <v xml:space="preserve">&lt;div class="itemMT" </v>
      </c>
      <c r="J1" t="str">
        <f>工作表2!A122</f>
        <v>&lt;/a&gt;&lt;div style="width:10px;display:inline-block;</v>
      </c>
      <c r="K1" t="str">
        <f>工作表2!A124</f>
        <v xml:space="preserve">&lt;div class="itemMT" </v>
      </c>
      <c r="L1" t="str">
        <f>工作表2!A133</f>
        <v>background-image: url('https://fgo.kazemai.io/common/images/icon/items/6201.png')</v>
      </c>
      <c r="M1" t="str">
        <f>工作表2!A135</f>
        <v>&lt;/a&gt;&lt;div style="width:10px;display:inline-block;</v>
      </c>
      <c r="N1" t="str">
        <f>工作表2!A146</f>
        <v>background-image: url('https://fgo.kazemai.io/common/images/icon/items/5.png')</v>
      </c>
      <c r="O1" t="str">
        <f>工作表2!A148</f>
        <v>&lt;/td&gt;&lt;/tr&gt;&lt;tr&gt;&lt;td&gt;Lv.7→Lv.8&lt;/td&gt;&lt;td&gt;&lt;a href="item_drop.html#6503</v>
      </c>
      <c r="P1" t="str">
        <f>工作表2!A157</f>
        <v>奇奇神酒</v>
      </c>
      <c r="Q1">
        <f>工作表2!A159</f>
        <v>2</v>
      </c>
      <c r="R1" t="str">
        <f>工作表2!A170</f>
        <v>奇奇神酒</v>
      </c>
      <c r="S1">
        <f>工作表2!A172</f>
        <v>6</v>
      </c>
      <c r="T1">
        <f>工作表2!A181</f>
        <v>0</v>
      </c>
      <c r="U1" t="str">
        <f>工作表2!A183</f>
        <v>QP</v>
      </c>
    </row>
    <row r="2" spans="1:21" x14ac:dyDescent="0.3">
      <c r="A2" t="str">
        <f>工作表2!A13</f>
        <v>background-image: url('https://fgo.kazemai.io/common/images/icon/items/5.png')</v>
      </c>
      <c r="B2" t="str">
        <f>工作表2!A15</f>
        <v>&lt;/td&gt;&lt;/tr&gt;&lt;tr&gt;&lt;td width="80</v>
      </c>
    </row>
    <row r="3" spans="1:21" x14ac:dyDescent="0.3">
      <c r="A3" t="str">
        <f>工作表2!A26</f>
        <v>background-image: url('https://fgo.kazemai.io/common/images/icon/items/5.png')</v>
      </c>
      <c r="B3" t="str">
        <f>工作表2!A28</f>
        <v>&lt;/td&gt;&lt;/tr&gt;&lt;tr&gt;&lt;td width="80" bgcolor=" #ECF2F3</v>
      </c>
    </row>
    <row r="4" spans="1:21" x14ac:dyDescent="0.3">
      <c r="A4" t="str">
        <f>工作表2!A33</f>
        <v>background-image: url('https://fgo.kazemai.io/common/images/icon/items/94091504.png')</v>
      </c>
      <c r="B4" t="str">
        <f>工作表2!A35</f>
        <v>&lt;/a&gt;&lt;div style="width:10px;display:inline-block;</v>
      </c>
    </row>
    <row r="5" spans="1:21" x14ac:dyDescent="0.3">
      <c r="A5" t="str">
        <f>工作表2!A46</f>
        <v>background-image: url('https://fgo.kazemai.io/common/images/icon/items/94091504.png')</v>
      </c>
      <c r="B5" t="str">
        <f>工作表2!A48</f>
        <v>&lt;/a&gt;&lt;div style="width:10px;display:inline-block;</v>
      </c>
    </row>
    <row r="6" spans="1:21" x14ac:dyDescent="0.3">
      <c r="A6" t="str">
        <f>工作表2!A53</f>
        <v>2m</v>
      </c>
      <c r="B6" t="str">
        <f>工作表2!A55</f>
        <v>&lt;b&gt;保有技能強化&lt;/b&gt;&lt;/th&gt;&lt;td&gt;Lv.1→Lv.2&lt;/td&gt;&lt;td&gt;&lt;a href="item_drop.html#6001</v>
      </c>
    </row>
    <row r="7" spans="1:21" x14ac:dyDescent="0.3">
      <c r="A7" t="str">
        <f>工作表2!A66</f>
        <v>&lt;/td&gt;&lt;/tr&gt;&lt;tr&gt;&lt;td bgcolor=" #ECF2F3</v>
      </c>
      <c r="B7" t="str">
        <f>工作表2!A68</f>
        <v>&lt;a href="item_drop.html#6001</v>
      </c>
    </row>
    <row r="8" spans="1:21" x14ac:dyDescent="0.3">
      <c r="A8" t="str">
        <f>工作表2!A73</f>
        <v>&lt;/a&gt;&lt;div style="width:10px;display:inline-block;</v>
      </c>
      <c r="B8" t="str">
        <f>工作表2!A75</f>
        <v xml:space="preserve">&lt;div class="itemMT" </v>
      </c>
    </row>
    <row r="9" spans="1:21" x14ac:dyDescent="0.3">
      <c r="A9" t="str">
        <f>工作表2!A87</f>
        <v>QP</v>
      </c>
      <c r="B9" t="str">
        <f>工作表2!A89</f>
        <v>600k</v>
      </c>
    </row>
    <row r="10" spans="1:21" x14ac:dyDescent="0.3">
      <c r="D10">
        <f>工作表2!A207</f>
        <v>0</v>
      </c>
      <c r="E10">
        <f>工作表2!A209</f>
        <v>120</v>
      </c>
      <c r="F10" t="str">
        <f>工作表2!A220</f>
        <v>QP</v>
      </c>
      <c r="G10" t="str">
        <f>工作表2!A222</f>
        <v>100k</v>
      </c>
      <c r="H10">
        <f>工作表2!A231</f>
        <v>0</v>
      </c>
      <c r="I10" t="str">
        <f>工作表2!A233</f>
        <v>QP</v>
      </c>
      <c r="J10" t="str">
        <f>工作表2!A244</f>
        <v>QP</v>
      </c>
      <c r="K10" t="str">
        <f>工作表2!A246</f>
        <v>600k</v>
      </c>
      <c r="L10">
        <f>工作表2!A255</f>
        <v>0</v>
      </c>
      <c r="M10" t="str">
        <f>工作表2!A257</f>
        <v xml:space="preserve">&lt;div class="itemMT" </v>
      </c>
      <c r="N10" t="str">
        <f>工作表2!A268</f>
        <v xml:space="preserve">&lt;div class="itemMT" </v>
      </c>
      <c r="O10" t="str">
        <f>工作表2!A270</f>
        <v>background-image: url('https://fgo.kazemai.io/common/images/icon/items/6201.png')</v>
      </c>
      <c r="P10" t="str">
        <f>工作表2!A279</f>
        <v>&lt;/a&gt;&lt;div style="width:10px;display:inline-block;</v>
      </c>
      <c r="Q10" t="str">
        <f>工作表2!A28</f>
        <v>&lt;/td&gt;&lt;/tr&gt;&lt;tr&gt;&lt;td width="80" bgcolor=" #ECF2F3</v>
      </c>
      <c r="R10" t="str">
        <f>工作表2!A292</f>
        <v>&lt;/a&gt;&lt;div style="width:10px;display:inline-block;</v>
      </c>
      <c r="S10" t="str">
        <f>工作表2!A294</f>
        <v>&lt;a href="item_drop.html#6538</v>
      </c>
      <c r="T10" t="str">
        <f>工作表2!A303</f>
        <v>background-image: url('https://fgo.kazemai.io/common/images/icon/items/5.png')</v>
      </c>
      <c r="U10" t="str">
        <f>工作表2!A305</f>
        <v>&lt;/td&gt;&lt;/tr&gt;&lt;tr&gt;&lt;td&gt;Lv.7→Lv.8&lt;/td&gt;&lt;td&gt;&lt;a href="item_drop.html#6538</v>
      </c>
    </row>
    <row r="11" spans="1:21" x14ac:dyDescent="0.3">
      <c r="D11" t="str">
        <f>工作表2!A210</f>
        <v>&lt;div style="width:10px;display:inline-block;</v>
      </c>
      <c r="E11" t="str">
        <f>工作表2!A212</f>
        <v>&lt;/td&gt;&lt;/tr&gt;&lt;tr&gt;&lt;td&gt;Lv.1→Lv.2&lt;/td&gt;&lt;td&gt;&lt;a href="item_drop.html#6001</v>
      </c>
      <c r="F11" t="str">
        <f>工作表2!A221</f>
        <v>background-image: url('https://fgo.kazemai.io/common/images/icon/items/5.png')</v>
      </c>
      <c r="G11" t="str">
        <f>工作表2!A223</f>
        <v>&lt;/td&gt;&lt;/tr&gt;&lt;tr&gt;&lt;td bgcolor=" #ECF2F3</v>
      </c>
      <c r="H11" t="str">
        <f>工作表2!A234</f>
        <v>background-image: url('https://fgo.kazemai.io/common/images/icon/items/5.png')</v>
      </c>
      <c r="I11" t="str">
        <f>工作表2!A236</f>
        <v>&lt;/td&gt;&lt;/tr&gt;&lt;tr&gt;&lt;td&gt;Lv.3→Lv.4&lt;/td&gt;&lt;td&gt;&lt;a href="item_drop.html#6101</v>
      </c>
      <c r="J11" t="str">
        <f>工作表2!A245</f>
        <v>background-image: url('https://fgo.kazemai.io/common/images/icon/items/5.png')</v>
      </c>
      <c r="K11" t="str">
        <f>工作表2!A247</f>
        <v>&lt;/td&gt;&lt;/tr&gt;&lt;tr&gt;&lt;td bgcolor=" #ECF2F3</v>
      </c>
      <c r="L11" t="str">
        <f>工作表2!A258</f>
        <v>枯淡勾玉</v>
      </c>
      <c r="M11">
        <f>工作表2!A260</f>
        <v>4</v>
      </c>
      <c r="N11" t="str">
        <f>工作表2!A269</f>
        <v>剣の秘石</v>
      </c>
      <c r="O11">
        <f>工作表2!A271</f>
        <v>4</v>
      </c>
      <c r="P11" t="str">
        <f>工作表2!A282</f>
        <v>QP</v>
      </c>
      <c r="Q11" t="str">
        <f>工作表2!A284</f>
        <v>2m</v>
      </c>
      <c r="R11">
        <f>工作表2!A293</f>
        <v>0</v>
      </c>
      <c r="S11" t="str">
        <f>工作表2!A295</f>
        <v xml:space="preserve">&lt;div class="itemMT" </v>
      </c>
      <c r="T11" t="str">
        <f>工作表2!A306</f>
        <v xml:space="preserve">&lt;div class="itemMT" </v>
      </c>
      <c r="U11" t="str">
        <f>工作表2!A308</f>
        <v>background-image: url('https://fgo.kazemai.io/common/images/icon/items/6538.png')</v>
      </c>
    </row>
    <row r="12" spans="1:21" x14ac:dyDescent="0.3">
      <c r="D12">
        <f>工作表2!A211</f>
        <v>0</v>
      </c>
      <c r="E12" t="str">
        <f>工作表2!A213</f>
        <v xml:space="preserve">&lt;div class="itemMT" </v>
      </c>
      <c r="F12" t="str">
        <f>工作表2!A222</f>
        <v>100k</v>
      </c>
      <c r="G12" t="str">
        <f>工作表2!A224</f>
        <v>Lv.2→Lv.3&lt;/td&gt;&lt;td bgcolor=" #ECF2F3</v>
      </c>
      <c r="H12" t="str">
        <f>工作表2!A235</f>
        <v>200k</v>
      </c>
      <c r="I12" t="str">
        <f>工作表2!A237</f>
        <v xml:space="preserve">&lt;div class="itemMT" </v>
      </c>
      <c r="J12" t="str">
        <f>工作表2!A246</f>
        <v>600k</v>
      </c>
      <c r="K12" t="str">
        <f>工作表2!A248</f>
        <v>Lv.4→Lv.5&lt;/td&gt;&lt;td bgcolor=" #ECF2F3</v>
      </c>
      <c r="L12" t="str">
        <f>工作表2!A259</f>
        <v>background-image: url('https://fgo.kazemai.io/common/images/icon/items/6532.png')</v>
      </c>
      <c r="M12" t="str">
        <f>工作表2!A261</f>
        <v>&lt;/a&gt;&lt;div style="width:10px;display:inline-block;</v>
      </c>
      <c r="N12" t="str">
        <f>工作表2!A270</f>
        <v>background-image: url('https://fgo.kazemai.io/common/images/icon/items/6201.png')</v>
      </c>
      <c r="O12" t="str">
        <f>工作表2!A272</f>
        <v>&lt;/a&gt;&lt;div style="width:10px;display:inline-block;</v>
      </c>
      <c r="P12" t="str">
        <f>工作表2!A283</f>
        <v>background-image: url('https://fgo.kazemai.io/common/images/icon/items/5.png')</v>
      </c>
      <c r="Q12" t="str">
        <f>工作表2!A285</f>
        <v>&lt;/td&gt;&lt;/tr&gt;&lt;tr&gt;&lt;td bgcolor=" #ECF2F3</v>
      </c>
      <c r="R12" t="str">
        <f>工作表2!A294</f>
        <v>&lt;a href="item_drop.html#6538</v>
      </c>
      <c r="S12" t="str">
        <f>工作表2!A296</f>
        <v>閑古鈴</v>
      </c>
      <c r="T12" t="str">
        <f>工作表2!A307</f>
        <v>閑古鈴</v>
      </c>
      <c r="U12">
        <f>工作表2!A309</f>
        <v>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AB91-2B66-4659-BD15-BF7FE5CD8078}">
  <sheetPr codeName="工作表6"/>
  <dimension ref="A1:U11"/>
  <sheetViews>
    <sheetView workbookViewId="0">
      <selection activeCell="D10" sqref="D10:U11"/>
    </sheetView>
  </sheetViews>
  <sheetFormatPr defaultRowHeight="16.2" x14ac:dyDescent="0.3"/>
  <cols>
    <col min="1" max="1" width="30" bestFit="1" customWidth="1"/>
    <col min="4" max="4" width="10.44140625" bestFit="1" customWidth="1"/>
    <col min="5" max="5" width="2.5546875" bestFit="1" customWidth="1"/>
    <col min="6" max="6" width="10.44140625" bestFit="1" customWidth="1"/>
    <col min="7" max="7" width="3.5546875" bestFit="1" customWidth="1"/>
    <col min="8" max="8" width="10.44140625" bestFit="1" customWidth="1"/>
    <col min="9" max="9" width="2.5546875" bestFit="1" customWidth="1"/>
    <col min="10" max="10" width="12.88671875" bestFit="1" customWidth="1"/>
    <col min="11" max="11" width="3.5546875" bestFit="1" customWidth="1"/>
    <col min="12" max="12" width="12.88671875" bestFit="1" customWidth="1"/>
    <col min="13" max="13" width="3.5546875" bestFit="1" customWidth="1"/>
    <col min="14" max="14" width="12.88671875" bestFit="1" customWidth="1"/>
    <col min="15" max="15" width="3.5546875" bestFit="1" customWidth="1"/>
    <col min="16" max="16" width="12.88671875" bestFit="1" customWidth="1"/>
    <col min="17" max="17" width="2.5546875" bestFit="1" customWidth="1"/>
    <col min="18" max="18" width="12.88671875" bestFit="1" customWidth="1"/>
    <col min="19" max="19" width="3.5546875" bestFit="1" customWidth="1"/>
    <col min="20" max="20" width="10.44140625" bestFit="1" customWidth="1"/>
    <col min="21" max="21" width="2.5546875" bestFit="1" customWidth="1"/>
  </cols>
  <sheetData>
    <row r="1" spans="1:21" x14ac:dyDescent="0.3">
      <c r="A1" t="str">
        <f>工作表2!A6</f>
        <v>水引根付</v>
      </c>
      <c r="B1">
        <f>工作表2!A8</f>
        <v>1</v>
      </c>
      <c r="D1" t="str">
        <f>工作表2!A57</f>
        <v>剣の輝石</v>
      </c>
      <c r="E1">
        <f>工作表2!A59</f>
        <v>4</v>
      </c>
      <c r="F1" t="str">
        <f>工作表2!A70</f>
        <v>剣の輝石</v>
      </c>
      <c r="G1">
        <f>工作表2!A72</f>
        <v>10</v>
      </c>
      <c r="H1" t="str">
        <f>工作表2!A81</f>
        <v>剣の魔石</v>
      </c>
      <c r="I1">
        <f>工作表2!A83</f>
        <v>4</v>
      </c>
      <c r="J1" t="str">
        <f>工作表2!A94</f>
        <v>剣の魔石</v>
      </c>
      <c r="K1">
        <f>工作表2!A96</f>
        <v>10</v>
      </c>
      <c r="L1" t="str">
        <f>工作表2!A112</f>
        <v>剣の秘石</v>
      </c>
      <c r="M1">
        <f>工作表2!A114</f>
        <v>4</v>
      </c>
      <c r="N1" t="str">
        <f>工作表2!A132</f>
        <v>剣の秘石</v>
      </c>
      <c r="O1">
        <f>工作表2!A134</f>
        <v>10</v>
      </c>
      <c r="P1" t="str">
        <f>工作表2!A150</f>
        <v>英雄の証</v>
      </c>
      <c r="Q1">
        <f>工作表2!A152</f>
        <v>24</v>
      </c>
      <c r="R1" t="str">
        <f>工作表2!A170</f>
        <v>奇奇神酒</v>
      </c>
      <c r="S1">
        <f>工作表2!A172</f>
        <v>6</v>
      </c>
      <c r="T1" t="str">
        <f>工作表2!A188</f>
        <v>伝承結晶</v>
      </c>
      <c r="U1">
        <f>工作表2!A190</f>
        <v>1</v>
      </c>
    </row>
    <row r="2" spans="1:21" x14ac:dyDescent="0.3">
      <c r="A2" t="str">
        <f>工作表2!A19</f>
        <v>水引根付</v>
      </c>
      <c r="B2">
        <f>工作表2!A21</f>
        <v>1</v>
      </c>
      <c r="J2" t="str">
        <f>工作表2!A101</f>
        <v>八連双晶</v>
      </c>
      <c r="K2">
        <f>工作表2!A103</f>
        <v>4</v>
      </c>
      <c r="L2" t="str">
        <f>工作表2!A119</f>
        <v>八連双晶</v>
      </c>
      <c r="M2">
        <f>工作表2!A121</f>
        <v>8</v>
      </c>
      <c r="N2" t="str">
        <f>工作表2!A139</f>
        <v>英雄の証</v>
      </c>
      <c r="O2">
        <f>工作表2!A141</f>
        <v>12</v>
      </c>
      <c r="P2" t="str">
        <f>工作表2!A157</f>
        <v>奇奇神酒</v>
      </c>
      <c r="Q2">
        <f>工作表2!A159</f>
        <v>2</v>
      </c>
      <c r="R2" t="str">
        <f>工作表2!A177</f>
        <v>鬼炎鬼灯</v>
      </c>
      <c r="S2">
        <f>工作表2!A179</f>
        <v>8</v>
      </c>
    </row>
    <row r="3" spans="1:21" x14ac:dyDescent="0.3">
      <c r="A3" t="str">
        <f>工作表2!A32</f>
        <v>水引根付</v>
      </c>
      <c r="B3">
        <f>工作表2!A34</f>
        <v>1</v>
      </c>
    </row>
    <row r="4" spans="1:21" x14ac:dyDescent="0.3">
      <c r="A4" t="str">
        <f>工作表2!A45</f>
        <v>水引根付</v>
      </c>
      <c r="B4">
        <f>工作表2!A47</f>
        <v>1</v>
      </c>
    </row>
    <row r="10" spans="1:21" x14ac:dyDescent="0.3">
      <c r="D10" t="str">
        <f>工作表2!A214</f>
        <v>剣の輝石</v>
      </c>
      <c r="E10">
        <f>工作表2!A216</f>
        <v>4</v>
      </c>
      <c r="F10" t="str">
        <f>工作表2!A227</f>
        <v>剣の輝石</v>
      </c>
      <c r="G10">
        <f>工作表2!A229</f>
        <v>10</v>
      </c>
      <c r="H10" t="str">
        <f>工作表2!A238</f>
        <v>剣の魔石</v>
      </c>
      <c r="I10">
        <f>工作表2!A240</f>
        <v>4</v>
      </c>
      <c r="J10" t="str">
        <f>工作表2!A251</f>
        <v>剣の魔石</v>
      </c>
      <c r="K10">
        <f>工作表2!A253</f>
        <v>10</v>
      </c>
      <c r="L10" t="str">
        <f>工作表2!A269</f>
        <v>剣の秘石</v>
      </c>
      <c r="M10">
        <f>工作表2!A271</f>
        <v>4</v>
      </c>
      <c r="N10" t="str">
        <f>工作表2!A289</f>
        <v>剣の秘石</v>
      </c>
      <c r="O10">
        <f>工作表2!A291</f>
        <v>10</v>
      </c>
      <c r="P10" t="str">
        <f>工作表2!A307</f>
        <v>閑古鈴</v>
      </c>
      <c r="Q10">
        <f>工作表2!A309</f>
        <v>8</v>
      </c>
      <c r="R10" t="str">
        <f>工作表2!A327</f>
        <v>神脈霊子</v>
      </c>
      <c r="S10">
        <f>工作表2!A329</f>
        <v>15</v>
      </c>
      <c r="T10" t="str">
        <f>工作表2!A345</f>
        <v>伝承結晶</v>
      </c>
      <c r="U10">
        <f>工作表2!A347</f>
        <v>1</v>
      </c>
    </row>
    <row r="11" spans="1:21" x14ac:dyDescent="0.3">
      <c r="J11" t="str">
        <f>工作表2!A258</f>
        <v>枯淡勾玉</v>
      </c>
      <c r="K11">
        <f>工作表2!A260</f>
        <v>4</v>
      </c>
      <c r="L11" t="str">
        <f>工作表2!A276</f>
        <v>枯淡勾玉</v>
      </c>
      <c r="M11">
        <f>工作表2!A278</f>
        <v>8</v>
      </c>
      <c r="N11" t="str">
        <f>工作表2!A296</f>
        <v>閑古鈴</v>
      </c>
      <c r="O11">
        <f>工作表2!A298</f>
        <v>4</v>
      </c>
      <c r="P11" t="str">
        <f>工作表2!A314</f>
        <v>神脈霊子</v>
      </c>
      <c r="Q11">
        <f>工作表2!A316</f>
        <v>5</v>
      </c>
      <c r="R11" t="str">
        <f>工作表2!A334</f>
        <v>忘れじの灰</v>
      </c>
      <c r="S11">
        <f>工作表2!A336</f>
        <v>60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29BF-16CC-465B-84D3-3C69FE1C7FC3}">
  <sheetPr codeName="工作表7"/>
  <dimension ref="A1:U14"/>
  <sheetViews>
    <sheetView workbookViewId="0">
      <selection activeCell="E27" sqref="E27"/>
    </sheetView>
  </sheetViews>
  <sheetFormatPr defaultRowHeight="16.2" x14ac:dyDescent="0.3"/>
  <cols>
    <col min="1" max="1" width="30" bestFit="1" customWidth="1"/>
    <col min="4" max="4" width="10.44140625" bestFit="1" customWidth="1"/>
    <col min="5" max="5" width="4.5546875" bestFit="1" customWidth="1"/>
    <col min="6" max="6" width="10.44140625" bestFit="1" customWidth="1"/>
    <col min="7" max="7" width="3.5546875" bestFit="1" customWidth="1"/>
    <col min="8" max="8" width="10.44140625" bestFit="1" customWidth="1"/>
    <col min="9" max="9" width="3.5546875" bestFit="1" customWidth="1"/>
    <col min="10" max="10" width="12.88671875" bestFit="1" customWidth="1"/>
    <col min="11" max="11" width="3.5546875" bestFit="1" customWidth="1"/>
    <col min="12" max="12" width="12.88671875" bestFit="1" customWidth="1"/>
    <col min="13" max="13" width="4.5546875" bestFit="1" customWidth="1"/>
    <col min="14" max="14" width="12.88671875" bestFit="1" customWidth="1"/>
    <col min="15" max="15" width="4.5546875" bestFit="1" customWidth="1"/>
    <col min="16" max="16" width="12.88671875" bestFit="1" customWidth="1"/>
    <col min="17" max="17" width="4.5546875" bestFit="1" customWidth="1"/>
    <col min="18" max="18" width="12.88671875" bestFit="1" customWidth="1"/>
    <col min="19" max="19" width="4.5546875" bestFit="1" customWidth="1"/>
    <col min="20" max="20" width="10.44140625" bestFit="1" customWidth="1"/>
    <col min="21" max="21" width="4.5546875" bestFit="1" customWidth="1"/>
  </cols>
  <sheetData>
    <row r="1" spans="1:21" x14ac:dyDescent="0.3">
      <c r="A1" t="str">
        <f>工作表2!A6</f>
        <v>水引根付</v>
      </c>
      <c r="B1">
        <f>工作表2!A8</f>
        <v>1</v>
      </c>
      <c r="D1" t="str" cm="1">
        <f t="array" aca="1" ref="D1" ca="1">INDIRECT("工作表2!A"&amp;D5)</f>
        <v>剣の輝石</v>
      </c>
      <c r="E1" cm="1">
        <f t="array" aca="1" ref="E1" ca="1">INDIRECT("工作表2!A"&amp;E5)</f>
        <v>4</v>
      </c>
      <c r="F1" t="str" cm="1">
        <f t="array" aca="1" ref="F1" ca="1">INDIRECT("工作表2!A"&amp;F5)</f>
        <v>剣の輝石</v>
      </c>
      <c r="G1" cm="1">
        <f t="array" aca="1" ref="G1" ca="1">INDIRECT("工作表2!A"&amp;G5)</f>
        <v>10</v>
      </c>
      <c r="H1" t="str" cm="1">
        <f t="array" aca="1" ref="H1" ca="1">INDIRECT("工作表2!A"&amp;H5)</f>
        <v>剣の魔石</v>
      </c>
      <c r="I1" cm="1">
        <f t="array" aca="1" ref="I1" ca="1">INDIRECT("工作表2!A"&amp;I5)</f>
        <v>4</v>
      </c>
      <c r="J1" t="str" cm="1">
        <f t="array" aca="1" ref="J1" ca="1">INDIRECT("工作表2!A"&amp;J5)</f>
        <v>剣の魔石</v>
      </c>
      <c r="K1" cm="1">
        <f t="array" aca="1" ref="K1" ca="1">INDIRECT("工作表2!A"&amp;K5)</f>
        <v>10</v>
      </c>
      <c r="L1" cm="1">
        <f t="array" aca="1" ref="L1" ca="1">INDIRECT("工作表2!A"&amp;L5)</f>
        <v>0</v>
      </c>
      <c r="M1" t="str" cm="1">
        <f t="array" aca="1" ref="M1" ca="1">INDIRECT("工作表2!A"&amp;M5)</f>
        <v>QP</v>
      </c>
      <c r="N1" t="str" cm="1">
        <f t="array" aca="1" ref="N1" ca="1">INDIRECT("工作表2!A"&amp;N5)</f>
        <v xml:space="preserve">&lt;div class="itemMT" </v>
      </c>
      <c r="O1" t="str" cm="1">
        <f t="array" aca="1" ref="O1" ca="1">INDIRECT("工作表2!A"&amp;O5)</f>
        <v>background-image: url('https://fgo.kazemai.io/common/images/icon/items/6515.png')</v>
      </c>
      <c r="P1" t="str" cm="1">
        <f t="array" aca="1" ref="P1" ca="1">INDIRECT("工作表2!A"&amp;P5)</f>
        <v>Lv.6→Lv.7&lt;/td&gt;&lt;td bgcolor=" #ECF2F3</v>
      </c>
      <c r="Q1" t="str" cm="1">
        <f t="array" aca="1" ref="Q1" ca="1">INDIRECT("工作表2!A"&amp;Q5)</f>
        <v xml:space="preserve">&lt;div class="itemMT" </v>
      </c>
      <c r="R1" t="str" cm="1">
        <f t="array" aca="1" ref="R1" ca="1">INDIRECT("工作表2!A"&amp;R5)</f>
        <v>&lt;/a&gt;&lt;div style="width:10px;display:inline-block;</v>
      </c>
      <c r="S1" t="str" cm="1">
        <f t="array" aca="1" ref="S1" ca="1">INDIRECT("工作表2!A"&amp;S5)</f>
        <v xml:space="preserve">&lt;div class="itemMT" </v>
      </c>
      <c r="T1" t="str" cm="1">
        <f t="array" aca="1" ref="T1" ca="1">INDIRECT("工作表2!A"&amp;T5)</f>
        <v>&lt;/a&gt;&lt;div style="width:10px;display:inline-block;</v>
      </c>
      <c r="U1" t="str" cm="1">
        <f t="array" aca="1" ref="U1" ca="1">INDIRECT("工作表2!A"&amp;U5)</f>
        <v>&lt;a href="item_drop.html#6531</v>
      </c>
    </row>
    <row r="2" spans="1:21" x14ac:dyDescent="0.3">
      <c r="A2" t="str">
        <f>工作表2!A19</f>
        <v>水引根付</v>
      </c>
      <c r="B2">
        <f>工作表2!A21</f>
        <v>1</v>
      </c>
    </row>
    <row r="3" spans="1:21" x14ac:dyDescent="0.3">
      <c r="A3" t="str">
        <f>工作表2!A32</f>
        <v>水引根付</v>
      </c>
      <c r="B3">
        <f>工作表2!A34</f>
        <v>1</v>
      </c>
    </row>
    <row r="4" spans="1:21" x14ac:dyDescent="0.3">
      <c r="A4" t="str">
        <f>工作表2!A45</f>
        <v>水引根付</v>
      </c>
      <c r="B4">
        <f>工作表2!A47</f>
        <v>1</v>
      </c>
    </row>
    <row r="5" spans="1:21" x14ac:dyDescent="0.3">
      <c r="D5">
        <v>57</v>
      </c>
      <c r="E5">
        <v>59</v>
      </c>
      <c r="F5">
        <v>70</v>
      </c>
      <c r="G5">
        <v>72</v>
      </c>
      <c r="H5">
        <v>81</v>
      </c>
      <c r="I5">
        <v>83</v>
      </c>
      <c r="J5">
        <v>94</v>
      </c>
      <c r="K5">
        <v>96</v>
      </c>
      <c r="L5">
        <v>105</v>
      </c>
      <c r="M5">
        <v>107</v>
      </c>
      <c r="N5">
        <v>118</v>
      </c>
      <c r="O5">
        <v>120</v>
      </c>
      <c r="P5">
        <v>129</v>
      </c>
      <c r="Q5">
        <v>131</v>
      </c>
      <c r="R5">
        <v>142</v>
      </c>
      <c r="S5">
        <v>144</v>
      </c>
      <c r="T5">
        <v>153</v>
      </c>
      <c r="U5">
        <v>155</v>
      </c>
    </row>
    <row r="10" spans="1:21" x14ac:dyDescent="0.3">
      <c r="D10" t="str" cm="1">
        <f t="array" aca="1" ref="D10" ca="1">INDIRECT("工作表2!A"&amp;D14)</f>
        <v>鬼炎鬼灯</v>
      </c>
      <c r="E10" cm="1">
        <f t="array" aca="1" ref="E10" ca="1">INDIRECT("工作表2!A"&amp;E14)</f>
        <v>8</v>
      </c>
      <c r="F10" cm="1">
        <f t="array" aca="1" ref="F10" ca="1">INDIRECT("工作表2!A"&amp;F14)</f>
        <v>1</v>
      </c>
      <c r="G10" cm="1">
        <f t="array" aca="1" ref="G10" ca="1">INDIRECT("工作表2!A"&amp;G14)</f>
        <v>0</v>
      </c>
      <c r="H10" t="str" cm="1">
        <f t="array" aca="1" ref="H10" ca="1">INDIRECT("工作表2!A"&amp;H14)</f>
        <v>background-image: url('https://fgo.kazemai.io/common/images/icon/items/106000.png')</v>
      </c>
      <c r="I10" t="str" cm="1">
        <f t="array" aca="1" ref="I10" ca="1">INDIRECT("工作表2!A"&amp;I14)</f>
        <v>&lt;div style="width:10px;display:inline-block;</v>
      </c>
      <c r="J10" t="str" cm="1">
        <f t="array" aca="1" ref="J10" ca="1">INDIRECT("工作表2!A"&amp;J14)</f>
        <v>剣の輝石</v>
      </c>
      <c r="K10" cm="1">
        <f t="array" aca="1" ref="K10" ca="1">INDIRECT("工作表2!A"&amp;K14)</f>
        <v>4</v>
      </c>
      <c r="L10" t="str" cm="1">
        <f t="array" aca="1" ref="L10" ca="1">INDIRECT("工作表2!A"&amp;L14)</f>
        <v>&lt;a href="item_drop.html#6001</v>
      </c>
      <c r="M10" t="str" cm="1">
        <f t="array" aca="1" ref="M10" ca="1">INDIRECT("工作表2!A"&amp;M14)</f>
        <v>剣の輝石</v>
      </c>
      <c r="N10" t="str" cm="1">
        <f t="array" aca="1" ref="N10" ca="1">INDIRECT("工作表2!A"&amp;N14)</f>
        <v>剣の魔石</v>
      </c>
      <c r="O10" cm="1">
        <f t="array" aca="1" ref="O10" ca="1">INDIRECT("工作表2!A"&amp;O14)</f>
        <v>4</v>
      </c>
      <c r="P10" t="str" cm="1">
        <f t="array" aca="1" ref="P10" ca="1">INDIRECT("工作表2!A"&amp;P14)</f>
        <v>&lt;a href="item_drop.html#6101</v>
      </c>
      <c r="Q10" t="str" cm="1">
        <f t="array" aca="1" ref="Q10" ca="1">INDIRECT("工作表2!A"&amp;Q14)</f>
        <v>剣の魔石</v>
      </c>
      <c r="R10" cm="1">
        <f t="array" aca="1" ref="R10" ca="1">INDIRECT("工作表2!A"&amp;R14)</f>
        <v>0</v>
      </c>
      <c r="S10" t="str" cm="1">
        <f t="array" aca="1" ref="S10" ca="1">INDIRECT("工作表2!A"&amp;S14)</f>
        <v>QP</v>
      </c>
      <c r="T10" cm="1">
        <f t="array" aca="1" ref="T10" ca="1">INDIRECT("工作表2!A"&amp;T14)</f>
        <v>0</v>
      </c>
      <c r="U10" t="str" cm="1">
        <f t="array" aca="1" ref="U10" ca="1">INDIRECT("工作表2!A"&amp;U14)</f>
        <v xml:space="preserve">&lt;div class="itemMT" </v>
      </c>
    </row>
    <row r="14" spans="1:21" x14ac:dyDescent="0.3">
      <c r="D14">
        <v>177</v>
      </c>
      <c r="E14">
        <f>D14+2</f>
        <v>179</v>
      </c>
      <c r="F14">
        <v>190</v>
      </c>
      <c r="G14">
        <f t="shared" ref="G14" si="0">F14+2</f>
        <v>192</v>
      </c>
      <c r="H14">
        <v>201</v>
      </c>
      <c r="I14">
        <f t="shared" ref="I14" si="1">H14+2</f>
        <v>203</v>
      </c>
      <c r="J14">
        <v>214</v>
      </c>
      <c r="K14">
        <f t="shared" ref="K14" si="2">J14+2</f>
        <v>216</v>
      </c>
      <c r="L14">
        <v>225</v>
      </c>
      <c r="M14">
        <f t="shared" ref="M14" si="3">L14+2</f>
        <v>227</v>
      </c>
      <c r="N14">
        <v>238</v>
      </c>
      <c r="O14">
        <f t="shared" ref="O14" si="4">N14+2</f>
        <v>240</v>
      </c>
      <c r="P14">
        <v>249</v>
      </c>
      <c r="Q14">
        <f t="shared" ref="Q14" si="5">P14+2</f>
        <v>251</v>
      </c>
      <c r="R14">
        <v>262</v>
      </c>
      <c r="S14">
        <f t="shared" ref="S14" si="6">R14+2</f>
        <v>264</v>
      </c>
      <c r="T14">
        <v>273</v>
      </c>
      <c r="U14">
        <f t="shared" ref="U14" si="7">T14+2</f>
        <v>275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E8F3D-072A-4421-9F80-19C268BCEBCF}">
  <sheetPr codeName="工作表8"/>
  <dimension ref="A1:U19"/>
  <sheetViews>
    <sheetView workbookViewId="0">
      <selection activeCell="A2" sqref="A2"/>
    </sheetView>
  </sheetViews>
  <sheetFormatPr defaultRowHeight="16.2" x14ac:dyDescent="0.3"/>
  <cols>
    <col min="1" max="1" width="32.44140625" customWidth="1"/>
    <col min="2" max="2" width="3.5546875" bestFit="1" customWidth="1"/>
    <col min="4" max="4" width="10.44140625" bestFit="1" customWidth="1"/>
    <col min="5" max="5" width="3.5546875" bestFit="1" customWidth="1"/>
    <col min="6" max="6" width="10.44140625" bestFit="1" customWidth="1"/>
    <col min="7" max="7" width="3.5546875" bestFit="1" customWidth="1"/>
    <col min="8" max="8" width="10.44140625" bestFit="1" customWidth="1"/>
    <col min="9" max="9" width="2.5546875" bestFit="1" customWidth="1"/>
    <col min="10" max="10" width="10.44140625" bestFit="1" customWidth="1"/>
    <col min="11" max="11" width="3.5546875" bestFit="1" customWidth="1"/>
    <col min="12" max="12" width="10.44140625" bestFit="1" customWidth="1"/>
    <col min="13" max="13" width="3.5546875" bestFit="1" customWidth="1"/>
    <col min="14" max="14" width="10.44140625" bestFit="1" customWidth="1"/>
    <col min="15" max="15" width="3.5546875" bestFit="1" customWidth="1"/>
    <col min="16" max="16" width="12.88671875" bestFit="1" customWidth="1"/>
    <col min="17" max="17" width="2.5546875" bestFit="1" customWidth="1"/>
    <col min="18" max="18" width="17.77734375" bestFit="1" customWidth="1"/>
    <col min="19" max="19" width="3.5546875" bestFit="1" customWidth="1"/>
    <col min="20" max="20" width="10.44140625" bestFit="1" customWidth="1"/>
    <col min="21" max="21" width="2.5546875" bestFit="1" customWidth="1"/>
  </cols>
  <sheetData>
    <row r="1" spans="1:21" x14ac:dyDescent="0.3">
      <c r="A1" t="str">
        <f>工作表2!A6</f>
        <v>水引根付</v>
      </c>
      <c r="B1">
        <f>工作表2!A8</f>
        <v>1</v>
      </c>
      <c r="D1" t="str">
        <f>工作表2!A87</f>
        <v>QP</v>
      </c>
      <c r="E1" t="str">
        <f>工作表2!A89</f>
        <v>600k</v>
      </c>
      <c r="F1">
        <f>工作表2!A105</f>
        <v>0</v>
      </c>
      <c r="G1" t="str">
        <f>工作表2!A107</f>
        <v>QP</v>
      </c>
      <c r="H1" t="str">
        <f>工作表2!A125</f>
        <v>QP</v>
      </c>
      <c r="I1" t="str">
        <f>工作表2!A127</f>
        <v>2m</v>
      </c>
      <c r="J1">
        <f>工作表2!A143</f>
        <v>0</v>
      </c>
      <c r="K1" t="str">
        <f>工作表2!A145</f>
        <v>QP</v>
      </c>
      <c r="L1" t="str">
        <f>工作表2!A163</f>
        <v>QP</v>
      </c>
      <c r="M1" t="str">
        <f>工作表2!A165</f>
        <v>5m</v>
      </c>
      <c r="N1">
        <f>工作表2!A181</f>
        <v>0</v>
      </c>
      <c r="O1" t="str">
        <f>工作表2!A183</f>
        <v>QP</v>
      </c>
      <c r="P1" t="str">
        <f>工作表2!A201</f>
        <v>background-image: url('https://fgo.kazemai.io/common/images/icon/items/106000.png')</v>
      </c>
      <c r="Q1" t="str">
        <f>工作表2!A203</f>
        <v>&lt;div style="width:10px;display:inline-block;</v>
      </c>
      <c r="R1" t="str">
        <f>工作表2!A219</f>
        <v xml:space="preserve">&lt;div class="itemMT" </v>
      </c>
      <c r="S1" t="str">
        <f>工作表2!A221</f>
        <v>background-image: url('https://fgo.kazemai.io/common/images/icon/items/5.png')</v>
      </c>
      <c r="T1" t="str">
        <f>工作表2!A239</f>
        <v>background-image: url('https://fgo.kazemai.io/common/images/icon/items/6101.png')</v>
      </c>
      <c r="U1" t="str">
        <f>工作表2!A241</f>
        <v>&lt;/a&gt;&lt;div style="width:10px;display:inline-block;</v>
      </c>
    </row>
    <row r="2" spans="1:21" x14ac:dyDescent="0.3">
      <c r="A2" t="str">
        <f>工作表2!A13</f>
        <v>background-image: url('https://fgo.kazemai.io/common/images/icon/items/5.png')</v>
      </c>
      <c r="B2" t="str">
        <f>工作表2!A15</f>
        <v>&lt;/td&gt;&lt;/tr&gt;&lt;tr&gt;&lt;td width="80</v>
      </c>
      <c r="D2" t="str">
        <f>工作表2!A94</f>
        <v>剣の魔石</v>
      </c>
      <c r="E2">
        <f>工作表2!A96</f>
        <v>10</v>
      </c>
      <c r="F2" t="str">
        <f>工作表2!A112</f>
        <v>剣の秘石</v>
      </c>
      <c r="G2">
        <f>工作表2!A114</f>
        <v>4</v>
      </c>
      <c r="H2" t="str">
        <f>工作表2!A132</f>
        <v>剣の秘石</v>
      </c>
      <c r="I2">
        <f>工作表2!A134</f>
        <v>10</v>
      </c>
      <c r="J2" t="str">
        <f>工作表2!A150</f>
        <v>英雄の証</v>
      </c>
      <c r="K2">
        <f>工作表2!A152</f>
        <v>24</v>
      </c>
      <c r="L2" t="str">
        <f>工作表2!A170</f>
        <v>奇奇神酒</v>
      </c>
      <c r="M2">
        <f>工作表2!A172</f>
        <v>6</v>
      </c>
      <c r="N2" t="str">
        <f>工作表2!A188</f>
        <v>伝承結晶</v>
      </c>
      <c r="O2">
        <f>工作表2!A190</f>
        <v>1</v>
      </c>
      <c r="P2" t="str">
        <f>工作表2!A208</f>
        <v>background-image: url('https://fgo.kazemai.io/common/images/icon/items/106000.png')</v>
      </c>
      <c r="Q2" t="str">
        <f>工作表2!A210</f>
        <v>&lt;div style="width:10px;display:inline-block;</v>
      </c>
      <c r="R2" t="str">
        <f>工作表2!A226</f>
        <v xml:space="preserve">&lt;div class="itemMT" </v>
      </c>
      <c r="S2" t="str">
        <f>工作表2!A228</f>
        <v>background-image: url('https://fgo.kazemai.io/common/images/icon/items/6001.png')</v>
      </c>
    </row>
    <row r="3" spans="1:21" x14ac:dyDescent="0.3">
      <c r="A3" t="str">
        <f>工作表2!A26</f>
        <v>background-image: url('https://fgo.kazemai.io/common/images/icon/items/5.png')</v>
      </c>
      <c r="B3" t="str">
        <f>工作表2!A28</f>
        <v>&lt;/td&gt;&lt;/tr&gt;&lt;tr&gt;&lt;td width="80" bgcolor=" #ECF2F3</v>
      </c>
    </row>
    <row r="4" spans="1:21" x14ac:dyDescent="0.3">
      <c r="A4" t="str">
        <f>工作表2!A33</f>
        <v>background-image: url('https://fgo.kazemai.io/common/images/icon/items/94091504.png')</v>
      </c>
      <c r="B4" t="str">
        <f>工作表2!A35</f>
        <v>&lt;/a&gt;&lt;div style="width:10px;display:inline-block;</v>
      </c>
    </row>
    <row r="5" spans="1:21" x14ac:dyDescent="0.3">
      <c r="A5" t="str">
        <f>工作表2!A46</f>
        <v>background-image: url('https://fgo.kazemai.io/common/images/icon/items/94091504.png')</v>
      </c>
      <c r="B5" t="str">
        <f>工作表2!A48</f>
        <v>&lt;/a&gt;&lt;div style="width:10px;display:inline-block;</v>
      </c>
    </row>
    <row r="6" spans="1:21" x14ac:dyDescent="0.3">
      <c r="A6" t="str">
        <f>工作表2!A53</f>
        <v>2m</v>
      </c>
      <c r="B6" t="str">
        <f>工作表2!A55</f>
        <v>&lt;b&gt;保有技能強化&lt;/b&gt;&lt;/th&gt;&lt;td&gt;Lv.1→Lv.2&lt;/td&gt;&lt;td&gt;&lt;a href="item_drop.html#6001</v>
      </c>
    </row>
    <row r="7" spans="1:21" x14ac:dyDescent="0.3">
      <c r="A7" t="str">
        <f>工作表2!A66</f>
        <v>&lt;/td&gt;&lt;/tr&gt;&lt;tr&gt;&lt;td bgcolor=" #ECF2F3</v>
      </c>
      <c r="B7" t="str">
        <f>工作表2!A68</f>
        <v>&lt;a href="item_drop.html#6001</v>
      </c>
      <c r="D7">
        <f>工作表2!A85</f>
        <v>0</v>
      </c>
      <c r="E7" t="str">
        <f>工作表2!A87</f>
        <v>QP</v>
      </c>
      <c r="F7">
        <f>工作表2!A105</f>
        <v>0</v>
      </c>
      <c r="G7" t="str">
        <f>工作表2!A107</f>
        <v>QP</v>
      </c>
      <c r="H7">
        <f>工作表2!A123</f>
        <v>0</v>
      </c>
      <c r="I7" t="str">
        <f>工作表2!A125</f>
        <v>QP</v>
      </c>
      <c r="J7">
        <f>工作表2!A143</f>
        <v>0</v>
      </c>
      <c r="K7" t="str">
        <f>工作表2!A145</f>
        <v>QP</v>
      </c>
      <c r="L7">
        <f>工作表2!A161</f>
        <v>0</v>
      </c>
      <c r="M7" t="str">
        <f>工作表2!A163</f>
        <v>QP</v>
      </c>
      <c r="N7">
        <f>工作表2!A181</f>
        <v>0</v>
      </c>
      <c r="O7" t="str">
        <f>工作表2!A183</f>
        <v>QP</v>
      </c>
      <c r="P7">
        <f>工作表2!A199</f>
        <v>0</v>
      </c>
      <c r="Q7" t="str">
        <f>工作表2!A201</f>
        <v>background-image: url('https://fgo.kazemai.io/common/images/icon/items/106000.png')</v>
      </c>
      <c r="R7" t="str">
        <f>工作表2!A219</f>
        <v xml:space="preserve">&lt;div class="itemMT" </v>
      </c>
      <c r="S7" t="str">
        <f>工作表2!A221</f>
        <v>background-image: url('https://fgo.kazemai.io/common/images/icon/items/5.png')</v>
      </c>
      <c r="T7" t="str">
        <f>工作表2!A237</f>
        <v xml:space="preserve">&lt;div class="itemMT" </v>
      </c>
      <c r="U7" t="str">
        <f>工作表2!A239</f>
        <v>background-image: url('https://fgo.kazemai.io/common/images/icon/items/6101.png')</v>
      </c>
    </row>
    <row r="8" spans="1:21" x14ac:dyDescent="0.3">
      <c r="A8" t="str">
        <f>工作表2!A73</f>
        <v>&lt;/a&gt;&lt;div style="width:10px;display:inline-block;</v>
      </c>
      <c r="B8" t="str">
        <f>工作表2!A75</f>
        <v xml:space="preserve">&lt;div class="itemMT" </v>
      </c>
      <c r="D8" t="str">
        <f>工作表2!A92</f>
        <v>&lt;a href="item_drop.html#6101</v>
      </c>
      <c r="E8" t="str">
        <f>工作表2!A94</f>
        <v>剣の魔石</v>
      </c>
      <c r="F8" t="str">
        <f>工作表2!A112</f>
        <v>剣の秘石</v>
      </c>
      <c r="G8">
        <f>工作表2!A114</f>
        <v>4</v>
      </c>
      <c r="H8" t="str">
        <f>工作表2!A130</f>
        <v>&lt;a href="item_drop.html#6201</v>
      </c>
      <c r="I8" t="str">
        <f>工作表2!A132</f>
        <v>剣の秘石</v>
      </c>
      <c r="J8" t="str">
        <f>工作表2!A150</f>
        <v>英雄の証</v>
      </c>
      <c r="K8">
        <f>工作表2!A152</f>
        <v>24</v>
      </c>
      <c r="L8" t="str">
        <f>工作表2!A168</f>
        <v>&lt;a href="item_drop.html#6531</v>
      </c>
      <c r="M8" t="str">
        <f>工作表2!A170</f>
        <v>奇奇神酒</v>
      </c>
      <c r="N8" t="str">
        <f>工作表2!A188</f>
        <v>伝承結晶</v>
      </c>
      <c r="O8">
        <f>工作表2!A190</f>
        <v>1</v>
      </c>
      <c r="P8">
        <f>工作表2!A206</f>
        <v>0</v>
      </c>
      <c r="Q8" t="str">
        <f>工作表2!A208</f>
        <v>background-image: url('https://fgo.kazemai.io/common/images/icon/items/106000.png')</v>
      </c>
      <c r="R8" t="str">
        <f>工作表2!A226</f>
        <v xml:space="preserve">&lt;div class="itemMT" </v>
      </c>
      <c r="S8" t="str">
        <f>工作表2!A228</f>
        <v>background-image: url('https://fgo.kazemai.io/common/images/icon/items/6001.png')</v>
      </c>
    </row>
    <row r="13" spans="1:21" x14ac:dyDescent="0.3">
      <c r="D13" t="str">
        <f>工作表2!A267</f>
        <v>&lt;/td&gt;&lt;/tr&gt;&lt;tr&gt;&lt;td&gt;Lv.5→Lv.6&lt;/td&gt;&lt;td&gt;&lt;a href="item_drop.html#6201</v>
      </c>
      <c r="E13" t="str">
        <f>工作表2!A269</f>
        <v>剣の秘石</v>
      </c>
      <c r="F13" t="str">
        <f>工作表2!A285</f>
        <v>&lt;/td&gt;&lt;/tr&gt;&lt;tr&gt;&lt;td bgcolor=" #ECF2F3</v>
      </c>
      <c r="G13" t="str">
        <f>工作表2!A287</f>
        <v>&lt;a href="item_drop.html#6201</v>
      </c>
      <c r="H13" t="str">
        <f>工作表2!A305</f>
        <v>&lt;/td&gt;&lt;/tr&gt;&lt;tr&gt;&lt;td&gt;Lv.7→Lv.8&lt;/td&gt;&lt;td&gt;&lt;a href="item_drop.html#6538</v>
      </c>
      <c r="I13" t="str">
        <f>工作表2!A307</f>
        <v>閑古鈴</v>
      </c>
      <c r="J13" t="str">
        <f>工作表2!A323</f>
        <v>&lt;/td&gt;&lt;/tr&gt;&lt;tr&gt;&lt;td bgcolor=" #ECF2F3</v>
      </c>
      <c r="K13" t="str">
        <f>工作表2!A325</f>
        <v>&lt;a href="item_drop.html#6545</v>
      </c>
      <c r="L13" t="str">
        <f>工作表2!A343</f>
        <v>&lt;/td&gt;&lt;/tr&gt;&lt;tr&gt;&lt;td&gt;Lv.9→Lv.10&lt;/td&gt;&lt;td&gt;&lt;a href="item_drop.html#6999</v>
      </c>
      <c r="M13" t="str">
        <f>工作表2!A345</f>
        <v>伝承結晶</v>
      </c>
      <c r="N13">
        <f>工作表2!A361</f>
        <v>0</v>
      </c>
      <c r="O13">
        <f>工作表2!A363</f>
        <v>0</v>
      </c>
      <c r="P13">
        <f>工作表2!A381</f>
        <v>0</v>
      </c>
      <c r="Q13">
        <f>工作表2!A383</f>
        <v>0</v>
      </c>
      <c r="R13">
        <f>工作表2!A399</f>
        <v>0</v>
      </c>
      <c r="S13">
        <f>工作表2!A401</f>
        <v>0</v>
      </c>
      <c r="T13">
        <f>工作表2!A419</f>
        <v>0</v>
      </c>
      <c r="U13">
        <f>工作表2!A421</f>
        <v>0</v>
      </c>
    </row>
    <row r="14" spans="1:21" x14ac:dyDescent="0.3">
      <c r="D14" t="str">
        <f>工作表2!A274</f>
        <v>&lt;a href="item_drop.html#6532</v>
      </c>
      <c r="E14" t="str">
        <f>工作表2!A276</f>
        <v>枯淡勾玉</v>
      </c>
      <c r="F14" t="str">
        <f>工作表2!A292</f>
        <v>&lt;/a&gt;&lt;div style="width:10px;display:inline-block;</v>
      </c>
      <c r="G14" t="str">
        <f>工作表2!A294</f>
        <v>&lt;a href="item_drop.html#6538</v>
      </c>
      <c r="H14" t="str">
        <f>工作表2!A312</f>
        <v>&lt;a href="item_drop.html#6545</v>
      </c>
      <c r="I14" t="str">
        <f>工作表2!A314</f>
        <v>神脈霊子</v>
      </c>
      <c r="J14" t="str">
        <f>工作表2!A330</f>
        <v>&lt;/a&gt;&lt;div style="width:10px;display:inline-block;</v>
      </c>
      <c r="K14" t="str">
        <f>工作表2!A332</f>
        <v>&lt;a href="item_drop.html#6552</v>
      </c>
      <c r="L14" t="str">
        <f>工作表2!A350</f>
        <v xml:space="preserve">&lt;div class="itemMT" </v>
      </c>
      <c r="M14" t="str">
        <f>工作表2!A352</f>
        <v>background-image: url('https://fgo.kazemai.io/common/images/icon/items/5.png')</v>
      </c>
      <c r="N14">
        <f>工作表2!A368</f>
        <v>0</v>
      </c>
      <c r="O14">
        <f>工作表2!A370</f>
        <v>0</v>
      </c>
      <c r="P14">
        <f>工作表2!A388</f>
        <v>0</v>
      </c>
      <c r="Q14">
        <f>工作表2!A390</f>
        <v>0</v>
      </c>
      <c r="R14">
        <f>工作表2!A406</f>
        <v>0</v>
      </c>
      <c r="S14">
        <f>工作表2!A408</f>
        <v>0</v>
      </c>
    </row>
    <row r="18" spans="4:21" x14ac:dyDescent="0.3">
      <c r="D18" t="str">
        <f>工作表2!A263</f>
        <v xml:space="preserve">&lt;div class="itemMT" </v>
      </c>
      <c r="E18" t="str">
        <f>工作表2!A265</f>
        <v>background-image: url('https://fgo.kazemai.io/common/images/icon/items/5.png')</v>
      </c>
      <c r="F18" t="str">
        <f>工作表2!A283</f>
        <v>background-image: url('https://fgo.kazemai.io/common/images/icon/items/5.png')</v>
      </c>
      <c r="G18" t="str">
        <f>工作表2!A285</f>
        <v>&lt;/td&gt;&lt;/tr&gt;&lt;tr&gt;&lt;td bgcolor=" #ECF2F3</v>
      </c>
      <c r="H18" t="str">
        <f>工作表2!A301</f>
        <v xml:space="preserve">&lt;div class="itemMT" </v>
      </c>
      <c r="I18" t="str">
        <f>工作表2!A303</f>
        <v>background-image: url('https://fgo.kazemai.io/common/images/icon/items/5.png')</v>
      </c>
      <c r="J18" t="str">
        <f>工作表2!A321</f>
        <v>background-image: url('https://fgo.kazemai.io/common/images/icon/items/5.png')</v>
      </c>
      <c r="K18" t="str">
        <f>工作表2!A323</f>
        <v>&lt;/td&gt;&lt;/tr&gt;&lt;tr&gt;&lt;td bgcolor=" #ECF2F3</v>
      </c>
      <c r="L18" t="str">
        <f>工作表2!A339</f>
        <v xml:space="preserve">&lt;div class="itemMT" </v>
      </c>
      <c r="M18" t="str">
        <f>工作表2!A341</f>
        <v>background-image: url('https://fgo.kazemai.io/common/images/icon/items/5.png')</v>
      </c>
      <c r="N18">
        <f>工作表2!A359</f>
        <v>0</v>
      </c>
      <c r="O18">
        <f>工作表2!A361</f>
        <v>0</v>
      </c>
      <c r="P18">
        <f>工作表2!A377</f>
        <v>0</v>
      </c>
      <c r="Q18">
        <f>工作表2!A379</f>
        <v>0</v>
      </c>
      <c r="R18">
        <f>工作表2!A397</f>
        <v>0</v>
      </c>
      <c r="S18">
        <f>工作表2!A399</f>
        <v>0</v>
      </c>
      <c r="T18">
        <f>工作表2!A415</f>
        <v>0</v>
      </c>
      <c r="U18">
        <f>工作表2!A417</f>
        <v>0</v>
      </c>
    </row>
    <row r="19" spans="4:21" x14ac:dyDescent="0.3">
      <c r="D19" t="str">
        <f>工作表2!A270</f>
        <v>background-image: url('https://fgo.kazemai.io/common/images/icon/items/6201.png')</v>
      </c>
      <c r="E19" t="str">
        <f>工作表2!A272</f>
        <v>&lt;/a&gt;&lt;div style="width:10px;display:inline-block;</v>
      </c>
      <c r="F19" t="str">
        <f>工作表2!A290</f>
        <v>background-image: url('https://fgo.kazemai.io/common/images/icon/items/6201.png')</v>
      </c>
      <c r="G19" t="str">
        <f>工作表2!A292</f>
        <v>&lt;/a&gt;&lt;div style="width:10px;display:inline-block;</v>
      </c>
      <c r="H19" t="str">
        <f>工作表2!A308</f>
        <v>background-image: url('https://fgo.kazemai.io/common/images/icon/items/6538.png')</v>
      </c>
      <c r="I19" t="str">
        <f>工作表2!A310</f>
        <v>&lt;/a&gt;&lt;div style="width:10px;display:inline-block;</v>
      </c>
      <c r="J19" t="str">
        <f>工作表2!A328</f>
        <v>background-image: url('https://fgo.kazemai.io/common/images/icon/items/6545.png')</v>
      </c>
      <c r="K19" t="str">
        <f>工作表2!A330</f>
        <v>&lt;/a&gt;&lt;div style="width:10px;display:inline-block;</v>
      </c>
      <c r="L19" t="str">
        <f>工作表2!A346</f>
        <v>background-image: url('https://fgo.kazemai.io/common/images/icon/items/6999.png')</v>
      </c>
      <c r="M19" t="str">
        <f>工作表2!A348</f>
        <v>&lt;/a&gt;&lt;div style="width:10px;display:inline-block;</v>
      </c>
      <c r="N19">
        <f>工作表2!A366</f>
        <v>0</v>
      </c>
      <c r="O19">
        <f>工作表2!A368</f>
        <v>0</v>
      </c>
      <c r="P19">
        <f>工作表2!A384</f>
        <v>0</v>
      </c>
      <c r="Q19">
        <f>工作表2!A386</f>
        <v>0</v>
      </c>
      <c r="R19">
        <f>工作表2!A404</f>
        <v>0</v>
      </c>
      <c r="S19">
        <f>工作表2!A406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25B4A-1F63-491C-B689-21D4A65D3DB4}">
  <sheetPr codeName="工作表9"/>
  <dimension ref="A1:U11"/>
  <sheetViews>
    <sheetView workbookViewId="0">
      <selection activeCell="A17" sqref="A17"/>
    </sheetView>
  </sheetViews>
  <sheetFormatPr defaultRowHeight="16.2" x14ac:dyDescent="0.3"/>
  <cols>
    <col min="1" max="1" width="30" bestFit="1" customWidth="1"/>
    <col min="4" max="4" width="10.44140625" bestFit="1" customWidth="1"/>
    <col min="5" max="5" width="4.6640625" customWidth="1"/>
    <col min="6" max="6" width="10.44140625" bestFit="1" customWidth="1"/>
    <col min="7" max="7" width="3.5546875" bestFit="1" customWidth="1"/>
    <col min="8" max="8" width="10.44140625" bestFit="1" customWidth="1"/>
    <col min="9" max="9" width="2.5546875" bestFit="1" customWidth="1"/>
    <col min="10" max="10" width="12.88671875" bestFit="1" customWidth="1"/>
    <col min="11" max="11" width="3.5546875" bestFit="1" customWidth="1"/>
    <col min="12" max="12" width="12.88671875" bestFit="1" customWidth="1"/>
    <col min="13" max="13" width="3.5546875" bestFit="1" customWidth="1"/>
    <col min="14" max="14" width="12.88671875" bestFit="1" customWidth="1"/>
    <col min="15" max="15" width="3.5546875" bestFit="1" customWidth="1"/>
    <col min="16" max="16" width="12.88671875" bestFit="1" customWidth="1"/>
    <col min="17" max="17" width="2.5546875" bestFit="1" customWidth="1"/>
    <col min="18" max="18" width="12.88671875" bestFit="1" customWidth="1"/>
    <col min="19" max="19" width="3.5546875" bestFit="1" customWidth="1"/>
    <col min="20" max="20" width="10.44140625" bestFit="1" customWidth="1"/>
    <col min="21" max="21" width="2.5546875" bestFit="1" customWidth="1"/>
  </cols>
  <sheetData>
    <row r="1" spans="1:21" x14ac:dyDescent="0.3">
      <c r="A1" t="str">
        <f>工作表2!A6</f>
        <v>水引根付</v>
      </c>
      <c r="B1">
        <f>工作表2!A8</f>
        <v>1</v>
      </c>
      <c r="D1" t="str">
        <f>工作表2!A57</f>
        <v>剣の輝石</v>
      </c>
      <c r="E1">
        <f>工作表2!A59</f>
        <v>4</v>
      </c>
      <c r="F1" t="str">
        <f>工作表2!A77</f>
        <v>background-image: url('https://fgo.kazemai.io/common/images/icon/items/5.png')</v>
      </c>
      <c r="G1" t="str">
        <f>工作表2!A79</f>
        <v>&lt;/td&gt;&lt;/tr&gt;&lt;tr&gt;&lt;td&gt;Lv.3→Lv.4&lt;/td&gt;&lt;td&gt;&lt;a href="item_drop.html#6101</v>
      </c>
      <c r="H1" t="str">
        <f>工作表2!A95</f>
        <v>background-image: url('https://fgo.kazemai.io/common/images/icon/items/6101.png')</v>
      </c>
      <c r="I1" t="str">
        <f>工作表2!A97</f>
        <v>&lt;/a&gt;&lt;div style="width:10px;display:inline-block;</v>
      </c>
      <c r="J1" t="str">
        <f>工作表2!A115</f>
        <v>&lt;/a&gt;&lt;div style="width:10px;display:inline-block;</v>
      </c>
      <c r="K1" t="str">
        <f>工作表2!A117</f>
        <v>&lt;a href="item_drop.html#6515</v>
      </c>
      <c r="L1" t="str">
        <f>工作表2!A133</f>
        <v>background-image: url('https://fgo.kazemai.io/common/images/icon/items/6201.png')</v>
      </c>
      <c r="M1" t="str">
        <f>工作表2!A135</f>
        <v>&lt;/a&gt;&lt;div style="width:10px;display:inline-block;</v>
      </c>
      <c r="N1" t="str">
        <f>工作表2!A153</f>
        <v>&lt;/a&gt;&lt;div style="width:10px;display:inline-block;</v>
      </c>
      <c r="O1" t="str">
        <f>工作表2!A155</f>
        <v>&lt;a href="item_drop.html#6531</v>
      </c>
      <c r="P1" t="str">
        <f>工作表2!A171</f>
        <v>background-image: url('https://fgo.kazemai.io/common/images/icon/items/6531.png')</v>
      </c>
      <c r="Q1" t="str">
        <f>工作表2!A173</f>
        <v>&lt;/a&gt;&lt;div style="width:10px;display:inline-block;</v>
      </c>
      <c r="R1" t="str">
        <f>工作表2!A191</f>
        <v>&lt;/a&gt;&lt;div style="width:10px;display:inline-block;</v>
      </c>
      <c r="S1" t="str">
        <f>工作表2!A193</f>
        <v xml:space="preserve">&lt;div class="itemMT" </v>
      </c>
      <c r="T1">
        <f>工作表2!A209</f>
        <v>120</v>
      </c>
      <c r="U1">
        <f>工作表2!A211</f>
        <v>0</v>
      </c>
    </row>
    <row r="2" spans="1:21" x14ac:dyDescent="0.3">
      <c r="A2" t="str">
        <f>工作表2!A19</f>
        <v>水引根付</v>
      </c>
      <c r="B2">
        <f>工作表2!A21</f>
        <v>1</v>
      </c>
      <c r="D2" t="str">
        <f>工作表2!A64</f>
        <v>background-image: url('https://fgo.kazemai.io/common/images/icon/items/5.png')</v>
      </c>
      <c r="E2" t="str">
        <f>工作表2!A66</f>
        <v>&lt;/td&gt;&lt;/tr&gt;&lt;tr&gt;&lt;td bgcolor=" #ECF2F3</v>
      </c>
      <c r="F2" t="str">
        <f>工作表2!A84</f>
        <v>&lt;/a&gt;&lt;div style="width:10px;display:inline-block;</v>
      </c>
      <c r="G2" t="str">
        <f>工作表2!A86</f>
        <v xml:space="preserve">&lt;div class="itemMT" </v>
      </c>
      <c r="H2" t="str">
        <f>工作表2!A102</f>
        <v>background-image: url('https://fgo.kazemai.io/common/images/icon/items/6515.png')</v>
      </c>
      <c r="I2" t="str">
        <f>工作表2!A104</f>
        <v>&lt;/a&gt;&lt;div style="width:10px;display:inline-block;</v>
      </c>
      <c r="J2" t="str">
        <f>工作表2!A122</f>
        <v>&lt;/a&gt;&lt;div style="width:10px;display:inline-block;</v>
      </c>
      <c r="K2" t="str">
        <f>工作表2!A124</f>
        <v xml:space="preserve">&lt;div class="itemMT" </v>
      </c>
      <c r="L2" t="str">
        <f>工作表2!A140</f>
        <v>background-image: url('https://fgo.kazemai.io/common/images/icon/items/6503.png')</v>
      </c>
      <c r="M2" t="str">
        <f>工作表2!A142</f>
        <v>&lt;/a&gt;&lt;div style="width:10px;display:inline-block;</v>
      </c>
      <c r="N2" t="str">
        <f>工作表2!A160</f>
        <v>&lt;/a&gt;&lt;div style="width:10px;display:inline-block;</v>
      </c>
      <c r="O2" t="str">
        <f>工作表2!A162</f>
        <v xml:space="preserve">&lt;div class="itemMT" </v>
      </c>
      <c r="P2" t="str">
        <f>工作表2!A178</f>
        <v>background-image: url('https://fgo.kazemai.io/common/images/icon/items/6548.png')</v>
      </c>
      <c r="Q2" t="str">
        <f>工作表2!A180</f>
        <v>&lt;/a&gt;&lt;div style="width:10px;display:inline-block;</v>
      </c>
      <c r="R2" t="str">
        <f>工作表2!A198</f>
        <v xml:space="preserve">&lt;b&gt;附加技能強化&lt;/b&gt;&lt;/th&gt;&lt;/tr&gt;&lt;tr&gt;&lt;td&gt;獲得從者&lt;br&gt;時增加數&lt;/td&gt;&lt;td&gt;&lt;div class="itemMT" </v>
      </c>
      <c r="S2">
        <f>工作表2!A200</f>
        <v>0</v>
      </c>
    </row>
    <row r="3" spans="1:21" x14ac:dyDescent="0.3">
      <c r="A3" t="str">
        <f>工作表2!A32</f>
        <v>水引根付</v>
      </c>
      <c r="B3">
        <f>工作表2!A34</f>
        <v>1</v>
      </c>
    </row>
    <row r="4" spans="1:21" x14ac:dyDescent="0.3">
      <c r="A4" t="str">
        <f>工作表2!A45</f>
        <v>水引根付</v>
      </c>
      <c r="B4">
        <f>工作表2!A47</f>
        <v>1</v>
      </c>
    </row>
    <row r="10" spans="1:21" x14ac:dyDescent="0.3">
      <c r="D10" t="str">
        <f>工作表2!A235</f>
        <v>200k</v>
      </c>
      <c r="E10" t="str">
        <f>工作表2!A237</f>
        <v xml:space="preserve">&lt;div class="itemMT" </v>
      </c>
      <c r="F10">
        <f>工作表2!A255</f>
        <v>0</v>
      </c>
      <c r="G10" t="str">
        <f>工作表2!A257</f>
        <v xml:space="preserve">&lt;div class="itemMT" </v>
      </c>
      <c r="H10">
        <f>工作表2!A273</f>
        <v>0</v>
      </c>
      <c r="I10" t="str">
        <f>工作表2!A275</f>
        <v xml:space="preserve">&lt;div class="itemMT" </v>
      </c>
      <c r="J10">
        <f>工作表2!A293</f>
        <v>0</v>
      </c>
      <c r="K10" t="str">
        <f>工作表2!A295</f>
        <v xml:space="preserve">&lt;div class="itemMT" </v>
      </c>
      <c r="L10">
        <f>工作表2!A311</f>
        <v>0</v>
      </c>
      <c r="M10" t="str">
        <f>工作表2!A313</f>
        <v xml:space="preserve">&lt;div class="itemMT" </v>
      </c>
      <c r="N10">
        <f>工作表2!A331</f>
        <v>0</v>
      </c>
      <c r="O10" t="str">
        <f>工作表2!A333</f>
        <v xml:space="preserve">&lt;div class="itemMT" </v>
      </c>
      <c r="P10">
        <f>工作表2!A349</f>
        <v>0</v>
      </c>
      <c r="Q10" t="str">
        <f>工作表2!A351</f>
        <v>QP</v>
      </c>
      <c r="R10">
        <f>工作表2!A369</f>
        <v>0</v>
      </c>
      <c r="S10">
        <f>工作表2!A371</f>
        <v>0</v>
      </c>
      <c r="T10">
        <f>工作表2!A387</f>
        <v>0</v>
      </c>
      <c r="U10">
        <f>工作表2!A389</f>
        <v>0</v>
      </c>
    </row>
    <row r="11" spans="1:21" x14ac:dyDescent="0.3">
      <c r="D11">
        <f>工作表2!A242</f>
        <v>0</v>
      </c>
      <c r="E11" t="str">
        <f>工作表2!A244</f>
        <v>QP</v>
      </c>
      <c r="F11">
        <f>工作表2!A262</f>
        <v>0</v>
      </c>
      <c r="G11" t="str">
        <f>工作表2!A264</f>
        <v>QP</v>
      </c>
      <c r="H11">
        <f>工作表2!A280</f>
        <v>0</v>
      </c>
      <c r="I11" t="str">
        <f>工作表2!A282</f>
        <v>QP</v>
      </c>
      <c r="J11">
        <f>工作表2!A300</f>
        <v>0</v>
      </c>
      <c r="K11" t="str">
        <f>工作表2!A302</f>
        <v>QP</v>
      </c>
      <c r="L11">
        <f>工作表2!A318</f>
        <v>0</v>
      </c>
      <c r="M11" t="str">
        <f>工作表2!A320</f>
        <v>QP</v>
      </c>
      <c r="N11">
        <f>工作表2!A338</f>
        <v>0</v>
      </c>
      <c r="O11" t="str">
        <f>工作表2!A340</f>
        <v>QP</v>
      </c>
      <c r="P11">
        <f>工作表2!A356</f>
        <v>0</v>
      </c>
      <c r="Q11">
        <f>工作表2!A358</f>
        <v>0</v>
      </c>
      <c r="R11">
        <f>工作表2!A376</f>
        <v>0</v>
      </c>
      <c r="S11">
        <f>工作表2!A378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工作表2</vt:lpstr>
      <vt:lpstr>工作表1</vt:lpstr>
      <vt:lpstr>case1</vt:lpstr>
      <vt:lpstr>case2</vt:lpstr>
      <vt:lpstr>case3</vt:lpstr>
      <vt:lpstr>case4</vt:lpstr>
      <vt:lpstr>case5</vt:lpstr>
      <vt:lpstr>分1</vt:lpstr>
      <vt:lpstr>分2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Tsukimiya</dc:creator>
  <cp:lastModifiedBy>俊達 陳</cp:lastModifiedBy>
  <dcterms:created xsi:type="dcterms:W3CDTF">2021-08-15T11:34:32Z</dcterms:created>
  <dcterms:modified xsi:type="dcterms:W3CDTF">2024-01-21T15:39:20Z</dcterms:modified>
</cp:coreProperties>
</file>